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s" sheetId="4" state="visible" r:id="rId4"/>
    <sheet xmlns:r="http://schemas.openxmlformats.org/officeDocument/2006/relationships" name="Sentiment Analysis" sheetId="5" state="visible" r:id="rId5"/>
    <sheet xmlns:r="http://schemas.openxmlformats.org/officeDocument/2006/relationships" name="Stock Prices" sheetId="6" state="visible" r:id="rId6"/>
    <sheet xmlns:r="http://schemas.openxmlformats.org/officeDocument/2006/relationships" name="Ratios" sheetId="7" state="visible" r:id="rId7"/>
    <sheet xmlns:r="http://schemas.openxmlformats.org/officeDocument/2006/relationships" name="Cha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  <font>
      <b val="1"/>
      <color rgb="00FFFFFF"/>
      <sz val="11"/>
    </font>
    <font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4" fillId="2" borderId="1" applyAlignment="1" pivotButton="0" quotePrefix="0" xfId="0">
      <alignment horizontal="center" wrapText="1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AAPL - Stock Price vs MD&amp;A Sentiment P/N Ratio</a:t>
            </a:r>
          </a:p>
        </rich>
      </tx>
    </title>
    <plotArea>
      <lineChart>
        <grouping val="standard"/>
        <ser>
          <idx val="0"/>
          <order val="0"/>
          <tx>
            <strRef>
              <f>'Chart'!D3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'Chart'!$A$4:$A$13</f>
            </numRef>
          </cat>
          <val>
            <numRef>
              <f>'Chart'!$D$4:$D$13</f>
            </numRef>
          </val>
        </ser>
        <axId val="10"/>
        <axId val="100"/>
      </lineChart>
      <lineChart>
        <grouping val="standard"/>
        <ser>
          <idx val="1"/>
          <order val="1"/>
          <tx>
            <strRef>
              <f>'Chart'!C3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'Chart'!$C$4:$C$13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Fiscal 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Stock Price ($)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P/N Ratio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70" customWidth="1" min="5" max="5"/>
  </cols>
  <sheetData>
    <row r="1">
      <c r="A1" s="1" t="inlineStr">
        <is>
          <t>Apple Inc. (AAPL) - 10-K Analysis</t>
        </is>
      </c>
    </row>
    <row r="3">
      <c r="A3" s="2" t="inlineStr">
        <is>
          <t>CIK</t>
        </is>
      </c>
      <c r="B3" t="inlineStr">
        <is>
          <t>0000320193</t>
        </is>
      </c>
    </row>
    <row r="4">
      <c r="A4" s="2" t="inlineStr">
        <is>
          <t>Generated (UTC)</t>
        </is>
      </c>
      <c r="B4" t="inlineStr">
        <is>
          <t>2026-10-30 00:06</t>
        </is>
      </c>
    </row>
    <row r="5">
      <c r="A5" s="2" t="inlineStr">
        <is>
          <t>Sentiment dictionary</t>
        </is>
      </c>
      <c r="B5" t="inlineStr">
        <is>
          <t>Loughran-McDonald Master Dictionary 1993-2025 (sraf.nd.edu, free for academic research)</t>
        </is>
      </c>
    </row>
    <row r="6">
      <c r="A6" s="2" t="inlineStr">
        <is>
          <t>Price source</t>
        </is>
      </c>
      <c r="B6" t="inlineStr">
        <is>
          <t>Yahoo Finance daily closes; last trading close on or before each balance-sheet date</t>
        </is>
      </c>
    </row>
    <row r="7">
      <c r="A7" s="2" t="inlineStr">
        <is>
          <t>Ratio inputs</t>
        </is>
      </c>
      <c r="B7" t="inlineStr">
        <is>
          <t>SEC XBRL company-concept API (us-gaap, 10-K annual values)</t>
        </is>
      </c>
    </row>
    <row r="8">
      <c r="A8" s="2" t="inlineStr">
        <is>
          <t>Solvency ratio</t>
        </is>
      </c>
      <c r="B8" t="inlineStr">
        <is>
          <t>Total liabilities / total equity. Total liabilities use the us-gaap 'Liabilities' tag when reported, else total assets minus total equity (balance-sheet identity).</t>
        </is>
      </c>
    </row>
    <row r="9">
      <c r="A9" s="3" t="inlineStr">
        <is>
          <t>Filings used</t>
        </is>
      </c>
      <c r="B9" t="inlineStr">
        <is>
          <t>Asset turnover = revenue / average of beginning and ending total assets.</t>
        </is>
      </c>
    </row>
    <row r="10">
      <c r="A10" s="4" t="inlineStr">
        <is>
          <t>Fiscal Year</t>
        </is>
      </c>
      <c r="B10" s="4" t="inlineStr">
        <is>
          <t>Filed</t>
        </is>
      </c>
      <c r="C10" s="4" t="inlineStr">
        <is>
          <t>Balance Sheet Date</t>
        </is>
      </c>
      <c r="D10" s="4" t="inlineStr">
        <is>
          <t>Accession Number</t>
        </is>
      </c>
      <c r="E10" s="4" t="inlineStr">
        <is>
          <t>EDGAR URL</t>
        </is>
      </c>
    </row>
    <row r="11">
      <c r="A11" s="5" t="inlineStr">
        <is>
          <t>FY2016</t>
        </is>
      </c>
      <c r="B11" s="5" t="inlineStr">
        <is>
          <t>2016-10-26</t>
        </is>
      </c>
      <c r="C11" s="5" t="inlineStr">
        <is>
          <t>2016-09-24</t>
        </is>
      </c>
      <c r="D11" s="5" t="inlineStr">
        <is>
          <t>0001628280-16-020309</t>
        </is>
      </c>
      <c r="E11" s="5" t="inlineStr">
        <is>
          <t>https://www.sec.gov/Archives/edgar/data/320193/000162828016020309</t>
        </is>
      </c>
    </row>
    <row r="12">
      <c r="A12" s="5" t="inlineStr">
        <is>
          <t>FY2017</t>
        </is>
      </c>
      <c r="B12" s="5" t="inlineStr">
        <is>
          <t>2017-11-03</t>
        </is>
      </c>
      <c r="C12" s="5" t="inlineStr">
        <is>
          <t>2017-09-30</t>
        </is>
      </c>
      <c r="D12" s="5" t="inlineStr">
        <is>
          <t>0000320193-17-000070</t>
        </is>
      </c>
      <c r="E12" s="5" t="inlineStr">
        <is>
          <t>https://www.sec.gov/Archives/edgar/data/320193/000032019317000070</t>
        </is>
      </c>
    </row>
    <row r="13">
      <c r="A13" s="5" t="inlineStr">
        <is>
          <t>FY2018</t>
        </is>
      </c>
      <c r="B13" s="5" t="inlineStr">
        <is>
          <t>2018-11-05</t>
        </is>
      </c>
      <c r="C13" s="5" t="inlineStr">
        <is>
          <t>2018-09-29</t>
        </is>
      </c>
      <c r="D13" s="5" t="inlineStr">
        <is>
          <t>0000320193-18-000145</t>
        </is>
      </c>
      <c r="E13" s="5" t="inlineStr">
        <is>
          <t>https://www.sec.gov/Archives/edgar/data/320193/000032019318000145</t>
        </is>
      </c>
    </row>
    <row r="14">
      <c r="A14" s="5" t="inlineStr">
        <is>
          <t>FY2019</t>
        </is>
      </c>
      <c r="B14" s="5" t="inlineStr">
        <is>
          <t>2019-10-31</t>
        </is>
      </c>
      <c r="C14" s="5" t="inlineStr">
        <is>
          <t>2019-09-28</t>
        </is>
      </c>
      <c r="D14" s="5" t="inlineStr">
        <is>
          <t>0000320193-19-000119</t>
        </is>
      </c>
      <c r="E14" s="5" t="inlineStr">
        <is>
          <t>https://www.sec.gov/Archives/edgar/data/320193/000032019319000119</t>
        </is>
      </c>
    </row>
    <row r="15">
      <c r="A15" s="5" t="inlineStr">
        <is>
          <t>FY2020</t>
        </is>
      </c>
      <c r="B15" s="5" t="inlineStr">
        <is>
          <t>2020-10-30</t>
        </is>
      </c>
      <c r="C15" s="5" t="inlineStr">
        <is>
          <t>2020-09-26</t>
        </is>
      </c>
      <c r="D15" s="5" t="inlineStr">
        <is>
          <t>0000320193-20-000096</t>
        </is>
      </c>
      <c r="E15" s="5" t="inlineStr">
        <is>
          <t>https://www.sec.gov/Archives/edgar/data/320193/000032019320000096</t>
        </is>
      </c>
    </row>
    <row r="16">
      <c r="A16" s="5" t="inlineStr">
        <is>
          <t>FY2021</t>
        </is>
      </c>
      <c r="B16" s="5" t="inlineStr">
        <is>
          <t>2021-10-29</t>
        </is>
      </c>
      <c r="C16" s="5" t="inlineStr">
        <is>
          <t>2021-09-25</t>
        </is>
      </c>
      <c r="D16" s="5" t="inlineStr">
        <is>
          <t>0000320193-21-000105</t>
        </is>
      </c>
      <c r="E16" s="5" t="inlineStr">
        <is>
          <t>https://www.sec.gov/Archives/edgar/data/320193/000032019321000105</t>
        </is>
      </c>
    </row>
    <row r="17">
      <c r="A17" s="5" t="inlineStr">
        <is>
          <t>FY2022</t>
        </is>
      </c>
      <c r="B17" s="5" t="inlineStr">
        <is>
          <t>2022-10-28</t>
        </is>
      </c>
      <c r="C17" s="5" t="inlineStr">
        <is>
          <t>2022-09-24</t>
        </is>
      </c>
      <c r="D17" s="5" t="inlineStr">
        <is>
          <t>0000320193-22-000108</t>
        </is>
      </c>
      <c r="E17" s="5" t="inlineStr">
        <is>
          <t>https://www.sec.gov/Archives/edgar/data/320193/000032019322000108</t>
        </is>
      </c>
    </row>
    <row r="18">
      <c r="A18" s="5" t="inlineStr">
        <is>
          <t>FY2023</t>
        </is>
      </c>
      <c r="B18" s="5" t="inlineStr">
        <is>
          <t>2023-11-03</t>
        </is>
      </c>
      <c r="C18" s="5" t="inlineStr">
        <is>
          <t>2023-09-30</t>
        </is>
      </c>
      <c r="D18" s="5" t="inlineStr">
        <is>
          <t>0000320193-23-000106</t>
        </is>
      </c>
      <c r="E18" s="5" t="inlineStr">
        <is>
          <t>https://www.sec.gov/Archives/edgar/data/320193/000032019323000106</t>
        </is>
      </c>
    </row>
    <row r="19">
      <c r="A19" s="5" t="inlineStr">
        <is>
          <t>FY2024</t>
        </is>
      </c>
      <c r="B19" s="5" t="inlineStr">
        <is>
          <t>2024-11-01</t>
        </is>
      </c>
      <c r="C19" s="5" t="inlineStr">
        <is>
          <t>2024-09-28</t>
        </is>
      </c>
      <c r="D19" s="5" t="inlineStr">
        <is>
          <t>0000320193-24-000123</t>
        </is>
      </c>
      <c r="E19" s="5" t="inlineStr">
        <is>
          <t>https://www.sec.gov/Archives/edgar/data/320193/000032019324000123</t>
        </is>
      </c>
    </row>
    <row r="20">
      <c r="A20" s="5" t="inlineStr">
        <is>
          <t>FY2025</t>
        </is>
      </c>
      <c r="B20" s="5" t="inlineStr">
        <is>
          <t>2025-10-31</t>
        </is>
      </c>
      <c r="C20" s="5" t="inlineStr">
        <is>
          <t>2025-09-27</t>
        </is>
      </c>
      <c r="D20" s="5" t="inlineStr">
        <is>
          <t>0000320193-25-000079</t>
        </is>
      </c>
      <c r="E20" s="5" t="inlineStr">
        <is>
          <t>https://www.sec.gov/Archives/edgar/data/320193/000032019325000079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CONSOLIDATED STATEMENTS OF OPERATIONS - USD ($) shares in Thousands, $ in Millions</t>
        </is>
      </c>
    </row>
    <row r="3">
      <c r="A3" s="7" t="inlineStr">
        <is>
          <t>Line Item</t>
        </is>
      </c>
      <c r="B3" s="7" t="inlineStr">
        <is>
          <t>2016-09-24</t>
        </is>
      </c>
      <c r="C3" s="7" t="inlineStr">
        <is>
          <t>2017-09-30</t>
        </is>
      </c>
      <c r="D3" s="7" t="inlineStr">
        <is>
          <t>2018-09-29</t>
        </is>
      </c>
      <c r="E3" s="7" t="inlineStr">
        <is>
          <t>2019-09-28</t>
        </is>
      </c>
      <c r="F3" s="7" t="inlineStr">
        <is>
          <t>2020-09-26</t>
        </is>
      </c>
      <c r="G3" s="7" t="inlineStr">
        <is>
          <t>2021-09-25</t>
        </is>
      </c>
      <c r="H3" s="7" t="inlineStr">
        <is>
          <t>2022-09-24</t>
        </is>
      </c>
      <c r="I3" s="7" t="inlineStr">
        <is>
          <t>2023-09-30</t>
        </is>
      </c>
      <c r="J3" s="7" t="inlineStr">
        <is>
          <t>2024-09-28</t>
        </is>
      </c>
      <c r="K3" s="7" t="inlineStr">
        <is>
          <t>2025-09-27</t>
        </is>
      </c>
    </row>
    <row r="4">
      <c r="A4" s="5" t="inlineStr">
        <is>
          <t>Income Statement [Abstract]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inlineStr">
        <is>
          <t>Net sales</t>
        </is>
      </c>
      <c r="B5" s="8" t="n">
        <v>215639</v>
      </c>
      <c r="C5" s="8" t="n">
        <v>229234</v>
      </c>
      <c r="D5" s="8" t="n">
        <v>265595</v>
      </c>
      <c r="E5" s="8" t="n">
        <v>260174</v>
      </c>
      <c r="F5" s="8" t="n">
        <v>274515</v>
      </c>
      <c r="G5" s="8" t="n">
        <v>365817</v>
      </c>
      <c r="H5" s="8" t="n">
        <v>394328</v>
      </c>
      <c r="I5" s="8" t="n">
        <v>383285</v>
      </c>
      <c r="J5" s="8" t="n">
        <v>391035</v>
      </c>
      <c r="K5" s="8" t="n">
        <v>416161</v>
      </c>
    </row>
    <row r="6">
      <c r="A6" s="5" t="inlineStr">
        <is>
          <t>Cost of sales</t>
        </is>
      </c>
      <c r="B6" s="8" t="n">
        <v>131376</v>
      </c>
      <c r="C6" s="8" t="n">
        <v>141048</v>
      </c>
      <c r="D6" s="8" t="n">
        <v>163756</v>
      </c>
      <c r="E6" s="8" t="n">
        <v>161782</v>
      </c>
      <c r="F6" s="8" t="n">
        <v>169559</v>
      </c>
      <c r="G6" s="8" t="n">
        <v>212981</v>
      </c>
      <c r="H6" s="8" t="n">
        <v>223546</v>
      </c>
      <c r="I6" s="8" t="n">
        <v>214137</v>
      </c>
      <c r="J6" s="8" t="n">
        <v>210352</v>
      </c>
      <c r="K6" s="8" t="n">
        <v>220960</v>
      </c>
    </row>
    <row r="7">
      <c r="A7" s="5" t="inlineStr">
        <is>
          <t>Gross margin</t>
        </is>
      </c>
      <c r="B7" s="8" t="n">
        <v>84263</v>
      </c>
      <c r="C7" s="8" t="n">
        <v>88186</v>
      </c>
      <c r="D7" s="8" t="n">
        <v>101839</v>
      </c>
      <c r="E7" s="8" t="n">
        <v>98392</v>
      </c>
      <c r="F7" s="8" t="n">
        <v>104956</v>
      </c>
      <c r="G7" s="8" t="n">
        <v>152836</v>
      </c>
      <c r="H7" s="8" t="n">
        <v>170782</v>
      </c>
      <c r="I7" s="8" t="n">
        <v>169148</v>
      </c>
      <c r="J7" s="8" t="n">
        <v>180683</v>
      </c>
      <c r="K7" s="8" t="n">
        <v>195201</v>
      </c>
    </row>
    <row r="8">
      <c r="A8" s="5" t="inlineStr">
        <is>
          <t>Operating expenses: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inlineStr">
        <is>
          <t>Research and development</t>
        </is>
      </c>
      <c r="B9" s="8" t="n">
        <v>10045</v>
      </c>
      <c r="C9" s="8" t="n">
        <v>11581</v>
      </c>
      <c r="D9" s="8" t="n">
        <v>14236</v>
      </c>
      <c r="E9" s="8" t="n">
        <v>16217</v>
      </c>
      <c r="F9" s="8" t="n">
        <v>18752</v>
      </c>
      <c r="G9" s="8" t="n">
        <v>21914</v>
      </c>
      <c r="H9" s="8" t="n">
        <v>26251</v>
      </c>
      <c r="I9" s="8" t="n">
        <v>29915</v>
      </c>
      <c r="J9" s="8" t="n">
        <v>31370</v>
      </c>
      <c r="K9" s="8" t="n">
        <v>34550</v>
      </c>
    </row>
    <row r="10">
      <c r="A10" s="5" t="inlineStr">
        <is>
          <t>Selling, general and administrative</t>
        </is>
      </c>
      <c r="B10" s="8" t="n">
        <v>14194</v>
      </c>
      <c r="C10" s="8" t="n">
        <v>15261</v>
      </c>
      <c r="D10" s="8" t="n">
        <v>16705</v>
      </c>
      <c r="E10" s="8" t="n">
        <v>18245</v>
      </c>
      <c r="F10" s="8" t="n">
        <v>19916</v>
      </c>
      <c r="G10" s="8" t="n">
        <v>21973</v>
      </c>
      <c r="H10" s="8" t="n">
        <v>25094</v>
      </c>
      <c r="I10" s="8" t="n">
        <v>24932</v>
      </c>
      <c r="J10" s="8" t="n">
        <v>26097</v>
      </c>
      <c r="K10" s="8" t="n">
        <v>27601</v>
      </c>
    </row>
    <row r="11">
      <c r="A11" s="5" t="inlineStr">
        <is>
          <t>Total operating expenses</t>
        </is>
      </c>
      <c r="B11" s="8" t="n">
        <v>24239</v>
      </c>
      <c r="C11" s="8" t="n">
        <v>26842</v>
      </c>
      <c r="D11" s="8" t="n">
        <v>30941</v>
      </c>
      <c r="E11" s="8" t="n">
        <v>34462</v>
      </c>
      <c r="F11" s="8" t="n">
        <v>38668</v>
      </c>
      <c r="G11" s="8" t="n">
        <v>43887</v>
      </c>
      <c r="H11" s="8" t="n">
        <v>51345</v>
      </c>
      <c r="I11" s="8" t="n">
        <v>54847</v>
      </c>
      <c r="J11" s="8" t="n">
        <v>57467</v>
      </c>
      <c r="K11" s="8" t="n">
        <v>62151</v>
      </c>
    </row>
    <row r="12">
      <c r="A12" s="5" t="inlineStr">
        <is>
          <t>Operating income</t>
        </is>
      </c>
      <c r="B12" s="8" t="n">
        <v>60024</v>
      </c>
      <c r="C12" s="8" t="n">
        <v>61344</v>
      </c>
      <c r="D12" s="8" t="n">
        <v>70898</v>
      </c>
      <c r="E12" s="8" t="n">
        <v>63930</v>
      </c>
      <c r="F12" s="8" t="n">
        <v>66288</v>
      </c>
      <c r="G12" s="8" t="n">
        <v>108949</v>
      </c>
      <c r="H12" s="8" t="n">
        <v>119437</v>
      </c>
      <c r="I12" s="8" t="n">
        <v>114301</v>
      </c>
      <c r="J12" s="8" t="n">
        <v>123216</v>
      </c>
      <c r="K12" s="8" t="n">
        <v>133050</v>
      </c>
    </row>
    <row r="13">
      <c r="A13" s="5" t="inlineStr">
        <is>
          <t>Other income/(expense), net</t>
        </is>
      </c>
      <c r="B13" s="8" t="n">
        <v>1348</v>
      </c>
      <c r="C13" s="8" t="n">
        <v>2745</v>
      </c>
      <c r="D13" s="8" t="n">
        <v>2005</v>
      </c>
      <c r="E13" s="8" t="n">
        <v>1807</v>
      </c>
      <c r="F13" s="8" t="n">
        <v>803</v>
      </c>
      <c r="G13" s="8" t="n">
        <v>258</v>
      </c>
      <c r="H13" s="8" t="n">
        <v>-334</v>
      </c>
      <c r="I13" s="8" t="n">
        <v>-565</v>
      </c>
      <c r="J13" s="8" t="n">
        <v>269</v>
      </c>
      <c r="K13" s="8" t="n">
        <v>-321</v>
      </c>
    </row>
    <row r="14">
      <c r="A14" s="5" t="inlineStr">
        <is>
          <t>Income before provision for income taxes</t>
        </is>
      </c>
      <c r="B14" s="8" t="n">
        <v>61372</v>
      </c>
      <c r="C14" s="8" t="n">
        <v>64089</v>
      </c>
      <c r="D14" s="8" t="n">
        <v>72903</v>
      </c>
      <c r="E14" s="8" t="n">
        <v>65737</v>
      </c>
      <c r="F14" s="8" t="n">
        <v>67091</v>
      </c>
      <c r="G14" s="8" t="n">
        <v>109207</v>
      </c>
      <c r="H14" s="8" t="n">
        <v>119103</v>
      </c>
      <c r="I14" s="8" t="n">
        <v>113736</v>
      </c>
      <c r="J14" s="8" t="n">
        <v>123485</v>
      </c>
      <c r="K14" s="8" t="n">
        <v>132729</v>
      </c>
    </row>
    <row r="15">
      <c r="A15" s="5" t="inlineStr">
        <is>
          <t>Provision for income taxes</t>
        </is>
      </c>
      <c r="B15" s="8" t="n">
        <v>15685</v>
      </c>
      <c r="C15" s="8" t="n">
        <v>15738</v>
      </c>
      <c r="D15" s="8" t="n">
        <v>13372</v>
      </c>
      <c r="E15" s="8" t="n">
        <v>10481</v>
      </c>
      <c r="F15" s="8" t="n">
        <v>9680</v>
      </c>
      <c r="G15" s="8" t="n">
        <v>14527</v>
      </c>
      <c r="H15" s="8" t="n">
        <v>19300</v>
      </c>
      <c r="I15" s="8" t="n">
        <v>16741</v>
      </c>
      <c r="J15" s="8" t="n">
        <v>29749</v>
      </c>
      <c r="K15" s="8" t="n">
        <v>20719</v>
      </c>
    </row>
    <row r="16">
      <c r="A16" s="5" t="inlineStr">
        <is>
          <t>Net income</t>
        </is>
      </c>
      <c r="B16" s="8" t="n">
        <v>45687</v>
      </c>
      <c r="C16" s="8" t="n">
        <v>48351</v>
      </c>
      <c r="D16" s="8" t="n">
        <v>59531</v>
      </c>
      <c r="E16" s="8" t="n">
        <v>55256</v>
      </c>
      <c r="F16" s="8" t="n">
        <v>57411</v>
      </c>
      <c r="G16" s="8" t="n">
        <v>94680</v>
      </c>
      <c r="H16" s="8" t="n">
        <v>99803</v>
      </c>
      <c r="I16" s="8" t="n">
        <v>96995</v>
      </c>
      <c r="J16" s="8" t="n">
        <v>93736</v>
      </c>
      <c r="K16" s="8" t="n">
        <v>112010</v>
      </c>
    </row>
    <row r="17">
      <c r="A17" s="5" t="inlineStr">
        <is>
          <t>Earnings per share: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Basic (in dollars per share)</t>
        </is>
      </c>
      <c r="B18" s="8" t="n">
        <v>8.35</v>
      </c>
      <c r="C18" s="8" t="n">
        <v>9.27</v>
      </c>
      <c r="D18" s="8" t="n">
        <v>3</v>
      </c>
      <c r="E18" s="8" t="n">
        <v>2.99</v>
      </c>
      <c r="F18" s="8" t="n">
        <v>3.31</v>
      </c>
      <c r="G18" s="8" t="n">
        <v>5.67</v>
      </c>
      <c r="H18" s="8" t="n">
        <v>6.15</v>
      </c>
      <c r="I18" s="8" t="n">
        <v>6.16</v>
      </c>
      <c r="J18" s="8" t="n">
        <v>6.11</v>
      </c>
      <c r="K18" s="8" t="n">
        <v>7.49</v>
      </c>
    </row>
    <row r="19">
      <c r="A19" s="5" t="inlineStr">
        <is>
          <t>Diluted (in dollars per share)</t>
        </is>
      </c>
      <c r="B19" s="8" t="n">
        <v>8.31</v>
      </c>
      <c r="C19" s="8" t="n">
        <v>9.210000000000001</v>
      </c>
      <c r="D19" s="8" t="n">
        <v>2.98</v>
      </c>
      <c r="E19" s="8" t="n">
        <v>2.97</v>
      </c>
      <c r="F19" s="8" t="n">
        <v>3.28</v>
      </c>
      <c r="G19" s="8" t="n">
        <v>5.61</v>
      </c>
      <c r="H19" s="8" t="n">
        <v>6.11</v>
      </c>
      <c r="I19" s="8" t="n">
        <v>6.13</v>
      </c>
      <c r="J19" s="8" t="n">
        <v>6.08</v>
      </c>
      <c r="K19" s="8" t="n">
        <v>7.46</v>
      </c>
    </row>
    <row r="20">
      <c r="A20" s="5" t="inlineStr">
        <is>
          <t>Shares used in computing earnings per share: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Basic (in shares)</t>
        </is>
      </c>
      <c r="B21" s="8" t="n">
        <v>5470820</v>
      </c>
      <c r="C21" s="8" t="n">
        <v>5217242</v>
      </c>
      <c r="D21" s="8" t="n">
        <v>19821510</v>
      </c>
      <c r="E21" s="8" t="n">
        <v>18471336</v>
      </c>
      <c r="F21" s="8" t="n">
        <v>17352119</v>
      </c>
      <c r="G21" s="8" t="n">
        <v>16701272</v>
      </c>
      <c r="H21" s="8" t="n">
        <v>16215963</v>
      </c>
      <c r="I21" s="8" t="n">
        <v>15744231</v>
      </c>
      <c r="J21" s="8" t="n">
        <v>15343783</v>
      </c>
      <c r="K21" s="8" t="n">
        <v>14948500</v>
      </c>
    </row>
    <row r="22">
      <c r="A22" s="5" t="inlineStr">
        <is>
          <t>Diluted (in shares)</t>
        </is>
      </c>
      <c r="B22" s="8" t="n">
        <v>5500281</v>
      </c>
      <c r="C22" s="8" t="n">
        <v>5251692</v>
      </c>
      <c r="D22" s="8" t="n">
        <v>20000435</v>
      </c>
      <c r="E22" s="8" t="n">
        <v>18595651</v>
      </c>
      <c r="F22" s="8" t="n">
        <v>17528214</v>
      </c>
      <c r="G22" s="8" t="n">
        <v>16864919</v>
      </c>
      <c r="H22" s="8" t="n">
        <v>16325819</v>
      </c>
      <c r="I22" s="8" t="n">
        <v>15812547</v>
      </c>
      <c r="J22" s="8" t="n">
        <v>15408095</v>
      </c>
      <c r="K22" s="8" t="n">
        <v>15004697</v>
      </c>
    </row>
    <row r="23">
      <c r="A23" s="5" t="inlineStr">
        <is>
          <t>Cash dividends declared per share (in dollars per share)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inlineStr">
        <is>
          <t>Products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inlineStr">
        <is>
          <t>Net sales (2)</t>
        </is>
      </c>
      <c r="B25" s="5" t="n"/>
      <c r="C25" s="8" t="n">
        <v>196534</v>
      </c>
      <c r="D25" s="8" t="n">
        <v>225847</v>
      </c>
      <c r="E25" s="8" t="n">
        <v>213883</v>
      </c>
      <c r="F25" s="8" t="n">
        <v>220747</v>
      </c>
      <c r="G25" s="8" t="n">
        <v>297392</v>
      </c>
      <c r="H25" s="8" t="n">
        <v>316199</v>
      </c>
      <c r="I25" s="8" t="n">
        <v>298085</v>
      </c>
      <c r="J25" s="8" t="n">
        <v>294866</v>
      </c>
      <c r="K25" s="8" t="n">
        <v>307003</v>
      </c>
    </row>
    <row r="26">
      <c r="A26" s="5" t="inlineStr">
        <is>
          <t>Cost of sales (2)</t>
        </is>
      </c>
      <c r="B26" s="5" t="n"/>
      <c r="C26" s="8" t="n">
        <v>126337</v>
      </c>
      <c r="D26" s="8" t="n">
        <v>148164</v>
      </c>
      <c r="E26" s="8" t="n">
        <v>144996</v>
      </c>
      <c r="F26" s="8" t="n">
        <v>151286</v>
      </c>
      <c r="G26" s="8" t="n">
        <v>192266</v>
      </c>
      <c r="H26" s="8" t="n">
        <v>201471</v>
      </c>
      <c r="I26" s="8" t="n">
        <v>189282</v>
      </c>
      <c r="J26" s="8" t="n">
        <v>185233</v>
      </c>
      <c r="K26" s="8" t="n">
        <v>194116</v>
      </c>
    </row>
    <row r="27">
      <c r="A27" s="5" t="inlineStr">
        <is>
          <t>Services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inlineStr">
        <is>
          <t>Net sales (3)</t>
        </is>
      </c>
      <c r="B28" s="5" t="n"/>
      <c r="C28" s="8" t="n">
        <v>32700</v>
      </c>
      <c r="D28" s="8" t="n">
        <v>39748</v>
      </c>
      <c r="E28" s="8" t="n">
        <v>46291</v>
      </c>
      <c r="F28" s="8" t="n">
        <v>53768</v>
      </c>
      <c r="G28" s="8" t="n">
        <v>68425</v>
      </c>
      <c r="H28" s="8" t="n">
        <v>78129</v>
      </c>
      <c r="I28" s="8" t="n">
        <v>85200</v>
      </c>
      <c r="J28" s="8" t="n">
        <v>96169</v>
      </c>
      <c r="K28" s="8" t="n">
        <v>109158</v>
      </c>
    </row>
    <row r="29">
      <c r="A29" s="5" t="inlineStr">
        <is>
          <t>Cost of sales (3)</t>
        </is>
      </c>
      <c r="B29" s="5" t="n"/>
      <c r="C29" s="8" t="n">
        <v>14711</v>
      </c>
      <c r="D29" s="8" t="n">
        <v>15592</v>
      </c>
      <c r="E29" s="8" t="n">
        <v>16786</v>
      </c>
      <c r="F29" s="8" t="n">
        <v>18273</v>
      </c>
      <c r="G29" s="8" t="n">
        <v>20715</v>
      </c>
      <c r="H29" s="8" t="n">
        <v>22075</v>
      </c>
      <c r="I29" s="8" t="n">
        <v>24855</v>
      </c>
      <c r="J29" s="8" t="n">
        <v>25119</v>
      </c>
      <c r="K29" s="8" t="n">
        <v>26844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CONSOLIDATED BALANCE SHEETS - USD ($) shares in Thousands, $ in Millions</t>
        </is>
      </c>
    </row>
    <row r="3">
      <c r="A3" s="7" t="inlineStr">
        <is>
          <t>Line Item</t>
        </is>
      </c>
      <c r="B3" s="7" t="inlineStr">
        <is>
          <t>2016-09-24</t>
        </is>
      </c>
      <c r="C3" s="7" t="inlineStr">
        <is>
          <t>2017-09-30</t>
        </is>
      </c>
      <c r="D3" s="7" t="inlineStr">
        <is>
          <t>2018-09-29</t>
        </is>
      </c>
      <c r="E3" s="7" t="inlineStr">
        <is>
          <t>2019-09-28</t>
        </is>
      </c>
      <c r="F3" s="7" t="inlineStr">
        <is>
          <t>2020-09-26</t>
        </is>
      </c>
      <c r="G3" s="7" t="inlineStr">
        <is>
          <t>2021-09-25</t>
        </is>
      </c>
      <c r="H3" s="7" t="inlineStr">
        <is>
          <t>2022-09-24</t>
        </is>
      </c>
      <c r="I3" s="7" t="inlineStr">
        <is>
          <t>2023-09-30</t>
        </is>
      </c>
      <c r="J3" s="7" t="inlineStr">
        <is>
          <t>2024-09-28</t>
        </is>
      </c>
      <c r="K3" s="7" t="inlineStr">
        <is>
          <t>2025-09-27</t>
        </is>
      </c>
    </row>
    <row r="4">
      <c r="A4" s="5" t="inlineStr">
        <is>
          <t>Current assets: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inlineStr">
        <is>
          <t>Cash and cash equivalents</t>
        </is>
      </c>
      <c r="B5" s="8" t="n">
        <v>20484</v>
      </c>
      <c r="C5" s="8" t="n">
        <v>20289</v>
      </c>
      <c r="D5" s="8" t="n">
        <v>25913</v>
      </c>
      <c r="E5" s="8" t="n">
        <v>48844</v>
      </c>
      <c r="F5" s="8" t="n">
        <v>38016</v>
      </c>
      <c r="G5" s="8" t="n">
        <v>34940</v>
      </c>
      <c r="H5" s="8" t="n">
        <v>23646</v>
      </c>
      <c r="I5" s="8" t="n">
        <v>29965</v>
      </c>
      <c r="J5" s="8" t="n">
        <v>29943</v>
      </c>
      <c r="K5" s="8" t="n">
        <v>35934</v>
      </c>
    </row>
    <row r="6">
      <c r="A6" s="5" t="inlineStr">
        <is>
          <t>Short-term marketable securities</t>
        </is>
      </c>
      <c r="B6" s="8" t="n">
        <v>46671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Accounts receivable, less allowances of $53 and $63, respectively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inlineStr">
        <is>
          <t>Inventories</t>
        </is>
      </c>
      <c r="B8" s="8" t="n">
        <v>2132</v>
      </c>
      <c r="C8" s="8" t="n">
        <v>4855</v>
      </c>
      <c r="D8" s="8" t="n">
        <v>3956</v>
      </c>
      <c r="E8" s="8" t="n">
        <v>4106</v>
      </c>
      <c r="F8" s="8" t="n">
        <v>4061</v>
      </c>
      <c r="G8" s="8" t="n">
        <v>6580</v>
      </c>
      <c r="H8" s="8" t="n">
        <v>4946</v>
      </c>
      <c r="I8" s="8" t="n">
        <v>6331</v>
      </c>
      <c r="J8" s="8" t="n">
        <v>7286</v>
      </c>
      <c r="K8" s="8" t="n">
        <v>5718</v>
      </c>
    </row>
    <row r="9">
      <c r="A9" s="5" t="inlineStr">
        <is>
          <t>Vendor non-trade receivables</t>
        </is>
      </c>
      <c r="B9" s="8" t="n">
        <v>13545</v>
      </c>
      <c r="C9" s="8" t="n">
        <v>17799</v>
      </c>
      <c r="D9" s="8" t="n">
        <v>25809</v>
      </c>
      <c r="E9" s="8" t="n">
        <v>22878</v>
      </c>
      <c r="F9" s="8" t="n">
        <v>21325</v>
      </c>
      <c r="G9" s="8" t="n">
        <v>25228</v>
      </c>
      <c r="H9" s="8" t="n">
        <v>32748</v>
      </c>
      <c r="I9" s="8" t="n">
        <v>31477</v>
      </c>
      <c r="J9" s="8" t="n">
        <v>32833</v>
      </c>
      <c r="K9" s="8" t="n">
        <v>33180</v>
      </c>
    </row>
    <row r="10">
      <c r="A10" s="5" t="inlineStr">
        <is>
          <t>Other current assets</t>
        </is>
      </c>
      <c r="B10" s="8" t="n">
        <v>8283</v>
      </c>
      <c r="C10" s="8" t="n">
        <v>13936</v>
      </c>
      <c r="D10" s="8" t="n">
        <v>12087</v>
      </c>
      <c r="E10" s="8" t="n">
        <v>12352</v>
      </c>
      <c r="F10" s="8" t="n">
        <v>11264</v>
      </c>
      <c r="G10" s="8" t="n">
        <v>14111</v>
      </c>
      <c r="H10" s="8" t="n">
        <v>21223</v>
      </c>
      <c r="I10" s="8" t="n">
        <v>14695</v>
      </c>
      <c r="J10" s="8" t="n">
        <v>14287</v>
      </c>
      <c r="K10" s="8" t="n">
        <v>14585</v>
      </c>
    </row>
    <row r="11">
      <c r="A11" s="5" t="inlineStr">
        <is>
          <t>Total current assets</t>
        </is>
      </c>
      <c r="B11" s="8" t="n">
        <v>106869</v>
      </c>
      <c r="C11" s="8" t="n">
        <v>128645</v>
      </c>
      <c r="D11" s="8" t="n">
        <v>131339</v>
      </c>
      <c r="E11" s="8" t="n">
        <v>162819</v>
      </c>
      <c r="F11" s="8" t="n">
        <v>143713</v>
      </c>
      <c r="G11" s="8" t="n">
        <v>134836</v>
      </c>
      <c r="H11" s="8" t="n">
        <v>135405</v>
      </c>
      <c r="I11" s="8" t="n">
        <v>143566</v>
      </c>
      <c r="J11" s="8" t="n">
        <v>152987</v>
      </c>
      <c r="K11" s="8" t="n">
        <v>147957</v>
      </c>
    </row>
    <row r="12">
      <c r="A12" s="5" t="inlineStr">
        <is>
          <t>Long-term marketable securities</t>
        </is>
      </c>
      <c r="B12" s="8" t="n">
        <v>170430</v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Property, plant and equipment, net</t>
        </is>
      </c>
      <c r="B13" s="8" t="n">
        <v>27010</v>
      </c>
      <c r="C13" s="8" t="n">
        <v>33783</v>
      </c>
      <c r="D13" s="8" t="n">
        <v>41304</v>
      </c>
      <c r="E13" s="8" t="n">
        <v>37378</v>
      </c>
      <c r="F13" s="8" t="n">
        <v>36766</v>
      </c>
      <c r="G13" s="8" t="n">
        <v>39440</v>
      </c>
      <c r="H13" s="8" t="n">
        <v>42117</v>
      </c>
      <c r="I13" s="8" t="n">
        <v>43715</v>
      </c>
      <c r="J13" s="8" t="n">
        <v>45680</v>
      </c>
      <c r="K13" s="8" t="n">
        <v>49834</v>
      </c>
    </row>
    <row r="14">
      <c r="A14" s="5" t="inlineStr">
        <is>
          <t>Goodwill</t>
        </is>
      </c>
      <c r="B14" s="8" t="n">
        <v>5414</v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inlineStr">
        <is>
          <t>Acquired intangible assets, net</t>
        </is>
      </c>
      <c r="B15" s="8" t="n">
        <v>3206</v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inlineStr">
        <is>
          <t>Other non-current assets</t>
        </is>
      </c>
      <c r="B16" s="8" t="n">
        <v>8757</v>
      </c>
      <c r="C16" s="8" t="n">
        <v>18177</v>
      </c>
      <c r="D16" s="8" t="n">
        <v>22283</v>
      </c>
      <c r="E16" s="8" t="n">
        <v>32978</v>
      </c>
      <c r="F16" s="8" t="n">
        <v>42522</v>
      </c>
      <c r="G16" s="8" t="n">
        <v>48849</v>
      </c>
      <c r="H16" s="8" t="n">
        <v>54428</v>
      </c>
      <c r="I16" s="8" t="n">
        <v>64758</v>
      </c>
      <c r="J16" s="8" t="n">
        <v>74834</v>
      </c>
      <c r="K16" s="8" t="n">
        <v>83727</v>
      </c>
    </row>
    <row r="17">
      <c r="A17" s="5" t="inlineStr">
        <is>
          <t>Total assets</t>
        </is>
      </c>
      <c r="B17" s="8" t="n">
        <v>321686</v>
      </c>
      <c r="C17" s="8" t="n">
        <v>375319</v>
      </c>
      <c r="D17" s="8" t="n">
        <v>365725</v>
      </c>
      <c r="E17" s="8" t="n">
        <v>338516</v>
      </c>
      <c r="F17" s="8" t="n">
        <v>323888</v>
      </c>
      <c r="G17" s="8" t="n">
        <v>351002</v>
      </c>
      <c r="H17" s="8" t="n">
        <v>352755</v>
      </c>
      <c r="I17" s="8" t="n">
        <v>352583</v>
      </c>
      <c r="J17" s="8" t="n">
        <v>364980</v>
      </c>
      <c r="K17" s="8" t="n">
        <v>359241</v>
      </c>
    </row>
    <row r="18">
      <c r="A18" s="5" t="inlineStr">
        <is>
          <t>Current liabilities: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inlineStr">
        <is>
          <t>Accounts payable</t>
        </is>
      </c>
      <c r="B19" s="8" t="n">
        <v>37294</v>
      </c>
      <c r="C19" s="8" t="n">
        <v>44242</v>
      </c>
      <c r="D19" s="8" t="n">
        <v>55888</v>
      </c>
      <c r="E19" s="8" t="n">
        <v>46236</v>
      </c>
      <c r="F19" s="8" t="n">
        <v>42296</v>
      </c>
      <c r="G19" s="8" t="n">
        <v>54763</v>
      </c>
      <c r="H19" s="8" t="n">
        <v>64115</v>
      </c>
      <c r="I19" s="8" t="n">
        <v>62611</v>
      </c>
      <c r="J19" s="8" t="n">
        <v>68960</v>
      </c>
      <c r="K19" s="8" t="n">
        <v>69860</v>
      </c>
    </row>
    <row r="20">
      <c r="A20" s="5" t="inlineStr">
        <is>
          <t>Accrued expenses</t>
        </is>
      </c>
      <c r="B20" s="8" t="n">
        <v>22027</v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inlineStr">
        <is>
          <t>Deferred revenue</t>
        </is>
      </c>
      <c r="B21" s="8" t="n">
        <v>8080</v>
      </c>
      <c r="C21" s="8" t="n">
        <v>7548</v>
      </c>
      <c r="D21" s="8" t="n">
        <v>5966</v>
      </c>
      <c r="E21" s="8" t="n">
        <v>5522</v>
      </c>
      <c r="F21" s="8" t="n">
        <v>6643</v>
      </c>
      <c r="G21" s="8" t="n">
        <v>7612</v>
      </c>
      <c r="H21" s="8" t="n">
        <v>7912</v>
      </c>
      <c r="I21" s="8" t="n">
        <v>8061</v>
      </c>
      <c r="J21" s="8" t="n">
        <v>8249</v>
      </c>
      <c r="K21" s="8" t="n">
        <v>9055</v>
      </c>
    </row>
    <row r="22">
      <c r="A22" s="5" t="inlineStr">
        <is>
          <t>Commercial paper</t>
        </is>
      </c>
      <c r="B22" s="8" t="n">
        <v>8105</v>
      </c>
      <c r="C22" s="8" t="n">
        <v>11977</v>
      </c>
      <c r="D22" s="8" t="n">
        <v>11964</v>
      </c>
      <c r="E22" s="8" t="n">
        <v>5980</v>
      </c>
      <c r="F22" s="8" t="n">
        <v>4996</v>
      </c>
      <c r="G22" s="8" t="n">
        <v>6000</v>
      </c>
      <c r="H22" s="8" t="n">
        <v>9982</v>
      </c>
      <c r="I22" s="8" t="n">
        <v>5985</v>
      </c>
      <c r="J22" s="8" t="n">
        <v>9967</v>
      </c>
      <c r="K22" s="8" t="n">
        <v>7979</v>
      </c>
    </row>
    <row r="23">
      <c r="A23" s="5" t="inlineStr">
        <is>
          <t>Current portion of long-term debt</t>
        </is>
      </c>
      <c r="B23" s="8" t="n">
        <v>3500</v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inlineStr">
        <is>
          <t>Total current liabilities</t>
        </is>
      </c>
      <c r="B24" s="8" t="n">
        <v>79006</v>
      </c>
      <c r="C24" s="8" t="n">
        <v>100814</v>
      </c>
      <c r="D24" s="8" t="n">
        <v>115929</v>
      </c>
      <c r="E24" s="8" t="n">
        <v>105718</v>
      </c>
      <c r="F24" s="8" t="n">
        <v>105392</v>
      </c>
      <c r="G24" s="8" t="n">
        <v>125481</v>
      </c>
      <c r="H24" s="8" t="n">
        <v>153982</v>
      </c>
      <c r="I24" s="8" t="n">
        <v>145308</v>
      </c>
      <c r="J24" s="8" t="n">
        <v>176392</v>
      </c>
      <c r="K24" s="8" t="n">
        <v>165631</v>
      </c>
    </row>
    <row r="25">
      <c r="A25" s="5" t="inlineStr">
        <is>
          <t>Deferred revenue, non-current</t>
        </is>
      </c>
      <c r="B25" s="8" t="n">
        <v>2930</v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inlineStr">
        <is>
          <t>Long-term debt</t>
        </is>
      </c>
      <c r="B26" s="8" t="n">
        <v>75427</v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inlineStr">
        <is>
          <t>Other non-current liabilities</t>
        </is>
      </c>
      <c r="B27" s="8" t="n">
        <v>36074</v>
      </c>
      <c r="C27" s="8" t="n">
        <v>40415</v>
      </c>
      <c r="D27" s="8" t="n">
        <v>48914</v>
      </c>
      <c r="E27" s="8" t="n">
        <v>50503</v>
      </c>
      <c r="F27" s="8" t="n">
        <v>54490</v>
      </c>
      <c r="G27" s="8" t="n">
        <v>53325</v>
      </c>
      <c r="H27" s="8" t="n">
        <v>49142</v>
      </c>
      <c r="I27" s="8" t="n">
        <v>49848</v>
      </c>
      <c r="J27" s="8" t="n">
        <v>45888</v>
      </c>
      <c r="K27" s="8" t="n">
        <v>41549</v>
      </c>
    </row>
    <row r="28">
      <c r="A28" s="5" t="inlineStr">
        <is>
          <t>Total liabilities</t>
        </is>
      </c>
      <c r="B28" s="8" t="n">
        <v>193437</v>
      </c>
      <c r="C28" s="8" t="n">
        <v>241272</v>
      </c>
      <c r="D28" s="8" t="n">
        <v>258578</v>
      </c>
      <c r="E28" s="8" t="n">
        <v>248028</v>
      </c>
      <c r="F28" s="8" t="n">
        <v>258549</v>
      </c>
      <c r="G28" s="8" t="n">
        <v>287912</v>
      </c>
      <c r="H28" s="8" t="n">
        <v>302083</v>
      </c>
      <c r="I28" s="8" t="n">
        <v>290437</v>
      </c>
      <c r="J28" s="8" t="n">
        <v>308030</v>
      </c>
      <c r="K28" s="8" t="n">
        <v>285508</v>
      </c>
    </row>
    <row r="29">
      <c r="A29" s="5" t="inlineStr">
        <is>
          <t>Commitments and contingencies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inlineStr">
        <is>
          <t>Shareholders’ equity: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inlineStr">
        <is>
          <t>Common stock and additional paid-in capital, $0.00001 par value: 12,600,000 shares authorized; 5,336,166 and 5,578,753 shares issued and outstanding, respectively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inlineStr">
        <is>
          <t>Retained earnings</t>
        </is>
      </c>
      <c r="B32" s="8" t="n">
        <v>96364</v>
      </c>
      <c r="C32" s="8" t="n">
        <v>98330</v>
      </c>
      <c r="D32" s="8" t="n">
        <v>70400</v>
      </c>
      <c r="E32" s="8" t="n">
        <v>45898</v>
      </c>
      <c r="F32" s="8" t="n">
        <v>14966</v>
      </c>
      <c r="G32" s="5" t="n"/>
      <c r="H32" s="5" t="n"/>
      <c r="I32" s="5" t="n"/>
      <c r="J32" s="5" t="n"/>
      <c r="K32" s="5" t="n"/>
    </row>
    <row r="33">
      <c r="A33" s="5" t="inlineStr">
        <is>
          <t>Accumulated other comprehensive income/(loss)</t>
        </is>
      </c>
      <c r="B33" s="8" t="n">
        <v>634</v>
      </c>
      <c r="C33" s="8" t="n">
        <v>-150</v>
      </c>
      <c r="D33" s="8" t="n">
        <v>-3454</v>
      </c>
      <c r="E33" s="8" t="n">
        <v>-584</v>
      </c>
      <c r="F33" s="8" t="n">
        <v>-406</v>
      </c>
      <c r="G33" s="8" t="n">
        <v>163</v>
      </c>
      <c r="H33" s="5" t="n"/>
      <c r="I33" s="5" t="n"/>
      <c r="J33" s="5" t="n"/>
      <c r="K33" s="5" t="n"/>
    </row>
    <row r="34">
      <c r="A34" s="5" t="inlineStr">
        <is>
          <t>Total shareholders’ equity</t>
        </is>
      </c>
      <c r="B34" s="8" t="n">
        <v>128249</v>
      </c>
      <c r="C34" s="8" t="n">
        <v>134047</v>
      </c>
      <c r="D34" s="8" t="n">
        <v>107147</v>
      </c>
      <c r="E34" s="8" t="n">
        <v>90488</v>
      </c>
      <c r="F34" s="8" t="n">
        <v>65339</v>
      </c>
      <c r="G34" s="8" t="n">
        <v>63090</v>
      </c>
      <c r="H34" s="8" t="n">
        <v>50672</v>
      </c>
      <c r="I34" s="8" t="n">
        <v>62146</v>
      </c>
      <c r="J34" s="8" t="n">
        <v>56950</v>
      </c>
      <c r="K34" s="8" t="n">
        <v>73733</v>
      </c>
    </row>
    <row r="35">
      <c r="A35" s="5" t="inlineStr">
        <is>
          <t>Total liabilities and shareholders’ equity</t>
        </is>
      </c>
      <c r="B35" s="8" t="n">
        <v>321686</v>
      </c>
      <c r="C35" s="8" t="n">
        <v>375319</v>
      </c>
      <c r="D35" s="8" t="n">
        <v>365725</v>
      </c>
      <c r="E35" s="8" t="n">
        <v>338516</v>
      </c>
      <c r="F35" s="8" t="n">
        <v>323888</v>
      </c>
      <c r="G35" s="8" t="n">
        <v>351002</v>
      </c>
      <c r="H35" s="8" t="n">
        <v>352755</v>
      </c>
      <c r="I35" s="8" t="n">
        <v>352583</v>
      </c>
      <c r="J35" s="8" t="n">
        <v>364980</v>
      </c>
      <c r="K35" s="8" t="n">
        <v>359241</v>
      </c>
    </row>
    <row r="36">
      <c r="A36" s="5" t="inlineStr">
        <is>
          <t>Accounts receivable, less allowances of $58 and $53, respectively</t>
        </is>
      </c>
      <c r="B36" s="8" t="n">
        <v>15754</v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inlineStr">
        <is>
          <t>Common stock and additional paid-in capital, $0.00001 par value: 12,600,000 shares authorized; 5,126,201 and 5,336,166 shares issued and outstanding, respectively</t>
        </is>
      </c>
      <c r="B37" s="8" t="n">
        <v>31251</v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inlineStr">
        <is>
          <t>Marketable securities</t>
        </is>
      </c>
      <c r="B38" s="5" t="n"/>
      <c r="C38" s="8" t="n">
        <v>53892</v>
      </c>
      <c r="D38" s="8" t="n">
        <v>40388</v>
      </c>
      <c r="E38" s="8" t="n">
        <v>51713</v>
      </c>
      <c r="F38" s="8" t="n">
        <v>52927</v>
      </c>
      <c r="G38" s="8" t="n">
        <v>27699</v>
      </c>
      <c r="H38" s="8" t="n">
        <v>24658</v>
      </c>
      <c r="I38" s="8" t="n">
        <v>31590</v>
      </c>
      <c r="J38" s="8" t="n">
        <v>35228</v>
      </c>
      <c r="K38" s="8" t="n">
        <v>18763</v>
      </c>
    </row>
    <row r="39">
      <c r="A39" s="5" t="inlineStr">
        <is>
          <t>Accounts receivable, net</t>
        </is>
      </c>
      <c r="B39" s="5" t="n"/>
      <c r="C39" s="8" t="n">
        <v>17874</v>
      </c>
      <c r="D39" s="8" t="n">
        <v>23186</v>
      </c>
      <c r="E39" s="8" t="n">
        <v>22926</v>
      </c>
      <c r="F39" s="8" t="n">
        <v>16120</v>
      </c>
      <c r="G39" s="8" t="n">
        <v>26278</v>
      </c>
      <c r="H39" s="8" t="n">
        <v>28184</v>
      </c>
      <c r="I39" s="8" t="n">
        <v>29508</v>
      </c>
      <c r="J39" s="8" t="n">
        <v>33410</v>
      </c>
      <c r="K39" s="8" t="n">
        <v>39777</v>
      </c>
    </row>
    <row r="40">
      <c r="A40" s="5" t="inlineStr">
        <is>
          <t>Non-current assets: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inlineStr">
        <is>
          <t>Marketable securities (2)</t>
        </is>
      </c>
      <c r="B41" s="5" t="n"/>
      <c r="C41" s="8" t="n">
        <v>194714</v>
      </c>
      <c r="D41" s="8" t="n">
        <v>170799</v>
      </c>
      <c r="E41" s="8" t="n">
        <v>105341</v>
      </c>
      <c r="F41" s="8" t="n">
        <v>100887</v>
      </c>
      <c r="G41" s="8" t="n">
        <v>127877</v>
      </c>
      <c r="H41" s="8" t="n">
        <v>120805</v>
      </c>
      <c r="I41" s="8" t="n">
        <v>100544</v>
      </c>
      <c r="J41" s="8" t="n">
        <v>91479</v>
      </c>
      <c r="K41" s="8" t="n">
        <v>77723</v>
      </c>
    </row>
    <row r="42">
      <c r="A42" s="5" t="inlineStr">
        <is>
          <t>Total non-current assets</t>
        </is>
      </c>
      <c r="B42" s="5" t="n"/>
      <c r="C42" s="8" t="n">
        <v>246674</v>
      </c>
      <c r="D42" s="8" t="n">
        <v>234386</v>
      </c>
      <c r="E42" s="8" t="n">
        <v>175697</v>
      </c>
      <c r="F42" s="8" t="n">
        <v>180175</v>
      </c>
      <c r="G42" s="8" t="n">
        <v>216166</v>
      </c>
      <c r="H42" s="8" t="n">
        <v>217350</v>
      </c>
      <c r="I42" s="8" t="n">
        <v>209017</v>
      </c>
      <c r="J42" s="8" t="n">
        <v>211993</v>
      </c>
      <c r="K42" s="8" t="n">
        <v>211284</v>
      </c>
    </row>
    <row r="43">
      <c r="A43" s="5" t="inlineStr">
        <is>
          <t>Other current liabilities</t>
        </is>
      </c>
      <c r="B43" s="5" t="n"/>
      <c r="C43" s="8" t="n">
        <v>30551</v>
      </c>
      <c r="D43" s="8" t="n">
        <v>33327</v>
      </c>
      <c r="E43" s="8" t="n">
        <v>37720</v>
      </c>
      <c r="F43" s="8" t="n">
        <v>42684</v>
      </c>
      <c r="G43" s="8" t="n">
        <v>47493</v>
      </c>
      <c r="H43" s="8" t="n">
        <v>60845</v>
      </c>
      <c r="I43" s="8" t="n">
        <v>58829</v>
      </c>
      <c r="J43" s="8" t="n">
        <v>78304</v>
      </c>
      <c r="K43" s="8" t="n">
        <v>66387</v>
      </c>
    </row>
    <row r="44">
      <c r="A44" s="5" t="inlineStr">
        <is>
          <t>Term debt</t>
        </is>
      </c>
      <c r="B44" s="5" t="n"/>
      <c r="C44" s="8" t="n">
        <v>6496</v>
      </c>
      <c r="D44" s="8" t="n">
        <v>8784</v>
      </c>
      <c r="E44" s="8" t="n">
        <v>10260</v>
      </c>
      <c r="F44" s="8" t="n">
        <v>8773</v>
      </c>
      <c r="G44" s="8" t="n">
        <v>9613</v>
      </c>
      <c r="H44" s="8" t="n">
        <v>11128</v>
      </c>
      <c r="I44" s="8" t="n">
        <v>9822</v>
      </c>
      <c r="J44" s="8" t="n">
        <v>10912</v>
      </c>
      <c r="K44" s="8" t="n">
        <v>12350</v>
      </c>
    </row>
    <row r="45">
      <c r="A45" s="5" t="inlineStr">
        <is>
          <t>Non-current liabilities: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inlineStr">
        <is>
          <t>Deferred revenue (2)</t>
        </is>
      </c>
      <c r="B46" s="5" t="n"/>
      <c r="C46" s="8" t="n">
        <v>2836</v>
      </c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inlineStr">
        <is>
          <t>Term debt (2)</t>
        </is>
      </c>
      <c r="B47" s="5" t="n"/>
      <c r="C47" s="8" t="n">
        <v>97207</v>
      </c>
      <c r="D47" s="8" t="n">
        <v>93735</v>
      </c>
      <c r="E47" s="8" t="n">
        <v>91807</v>
      </c>
      <c r="F47" s="8" t="n">
        <v>98667</v>
      </c>
      <c r="G47" s="8" t="n">
        <v>109106</v>
      </c>
      <c r="H47" s="8" t="n">
        <v>98959</v>
      </c>
      <c r="I47" s="8" t="n">
        <v>95281</v>
      </c>
      <c r="J47" s="8" t="n">
        <v>85750</v>
      </c>
      <c r="K47" s="8" t="n">
        <v>78328</v>
      </c>
    </row>
    <row r="48">
      <c r="A48" s="5" t="inlineStr">
        <is>
          <t>Total non-current liabilities</t>
        </is>
      </c>
      <c r="B48" s="5" t="n"/>
      <c r="C48" s="8" t="n">
        <v>140458</v>
      </c>
      <c r="D48" s="8" t="n">
        <v>142649</v>
      </c>
      <c r="E48" s="8" t="n">
        <v>142310</v>
      </c>
      <c r="F48" s="8" t="n">
        <v>153157</v>
      </c>
      <c r="G48" s="8" t="n">
        <v>162431</v>
      </c>
      <c r="H48" s="8" t="n">
        <v>148101</v>
      </c>
      <c r="I48" s="8" t="n">
        <v>145129</v>
      </c>
      <c r="J48" s="8" t="n">
        <v>131638</v>
      </c>
      <c r="K48" s="8" t="n">
        <v>119877</v>
      </c>
    </row>
    <row r="49">
      <c r="A49" s="5" t="inlineStr">
        <is>
          <t>Common stock and additional paid-in capital, $0.00001 par value: 12,600,000 shares authorized; 4,754,986 and 5,126,201 shares issued and outstanding, respectively</t>
        </is>
      </c>
      <c r="B49" s="5" t="n"/>
      <c r="C49" s="8" t="n">
        <v>35867</v>
      </c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inlineStr">
        <is>
          <t>Common stock and additional paid-in capital, $0.00001 par value: 12,600,000 shares authorized; 4,443,236 and 4,754,986 shares issued and outstanding, respectively</t>
        </is>
      </c>
      <c r="B50" s="5" t="n"/>
      <c r="C50" s="5" t="n"/>
      <c r="D50" s="8" t="n">
        <v>40201</v>
      </c>
      <c r="E50" s="5" t="n"/>
      <c r="F50" s="5" t="n"/>
      <c r="G50" s="5" t="n"/>
      <c r="H50" s="5" t="n"/>
      <c r="I50" s="5" t="n"/>
      <c r="J50" s="5" t="n"/>
      <c r="K50" s="5" t="n"/>
    </row>
    <row r="51">
      <c r="A51" s="5" t="inlineStr">
        <is>
          <t>Common stock and additional paid-in capital, $0.00001 par value: 50,400,000 shares authorized; 16,976,763 and 17,772,945 shares issued and outstanding, respectively</t>
        </is>
      </c>
      <c r="B51" s="5" t="n"/>
      <c r="C51" s="5" t="n"/>
      <c r="D51" s="5" t="n"/>
      <c r="E51" s="8" t="n">
        <v>45174</v>
      </c>
      <c r="F51" s="5" t="n"/>
      <c r="G51" s="5" t="n"/>
      <c r="H51" s="5" t="n"/>
      <c r="I51" s="5" t="n"/>
      <c r="J51" s="5" t="n"/>
      <c r="K51" s="5" t="n"/>
    </row>
    <row r="52">
      <c r="A52" s="5" t="inlineStr">
        <is>
          <t>Common stock and additional paid-in capital, $0.00001 par value: 50,400,000 shares authorized; 16,426,786 and 16,976,763 shares issued and outstanding, respectively</t>
        </is>
      </c>
      <c r="B52" s="5" t="n"/>
      <c r="C52" s="5" t="n"/>
      <c r="D52" s="5" t="n"/>
      <c r="E52" s="5" t="n"/>
      <c r="F52" s="8" t="n">
        <v>50779</v>
      </c>
      <c r="G52" s="5" t="n"/>
      <c r="H52" s="5" t="n"/>
      <c r="I52" s="5" t="n"/>
      <c r="J52" s="5" t="n"/>
      <c r="K52" s="5" t="n"/>
    </row>
    <row r="53">
      <c r="A53" s="5" t="inlineStr">
        <is>
          <t>Common stock and additional paid-in capital, $0.00001 par value: 50,400,000 shares authorized; 15,943,425 and 16,426,786 shares issued and outstanding, respectively</t>
        </is>
      </c>
      <c r="B53" s="5" t="n"/>
      <c r="C53" s="5" t="n"/>
      <c r="D53" s="5" t="n"/>
      <c r="E53" s="5" t="n"/>
      <c r="F53" s="5" t="n"/>
      <c r="G53" s="8" t="n">
        <v>57365</v>
      </c>
      <c r="H53" s="5" t="n"/>
      <c r="I53" s="5" t="n"/>
      <c r="J53" s="5" t="n"/>
      <c r="K53" s="5" t="n"/>
    </row>
    <row r="54">
      <c r="A54" s="5" t="inlineStr">
        <is>
          <t>Retained earnings/(Accumulated deficit)</t>
        </is>
      </c>
      <c r="B54" s="5" t="n"/>
      <c r="C54" s="5" t="n"/>
      <c r="D54" s="5" t="n"/>
      <c r="E54" s="5" t="n"/>
      <c r="F54" s="5" t="n"/>
      <c r="G54" s="8" t="n">
        <v>5562</v>
      </c>
      <c r="H54" s="5" t="n"/>
      <c r="I54" s="5" t="n"/>
      <c r="J54" s="5" t="n"/>
      <c r="K54" s="5" t="n"/>
    </row>
    <row r="55">
      <c r="A55" s="5" t="inlineStr">
        <is>
          <t>Common stock, shares outstanding (in shares)</t>
        </is>
      </c>
      <c r="B55" s="5" t="n"/>
      <c r="C55" s="5" t="n"/>
      <c r="D55" s="5" t="n"/>
      <c r="E55" s="5" t="n"/>
      <c r="F55" s="5" t="n"/>
      <c r="G55" s="5" t="n"/>
      <c r="H55" s="8" t="n">
        <v>15943425</v>
      </c>
      <c r="I55" s="8" t="n">
        <v>15550061</v>
      </c>
      <c r="J55" s="8" t="n">
        <v>15116786</v>
      </c>
      <c r="K55" s="8" t="n">
        <v>14773260</v>
      </c>
    </row>
    <row r="56">
      <c r="A56" s="5" t="inlineStr">
        <is>
          <t>Common stock, shares issued (in shares)</t>
        </is>
      </c>
      <c r="B56" s="5" t="n"/>
      <c r="C56" s="5" t="n"/>
      <c r="D56" s="5" t="n"/>
      <c r="E56" s="5" t="n"/>
      <c r="F56" s="5" t="n"/>
      <c r="G56" s="5" t="n"/>
      <c r="H56" s="8" t="n">
        <v>15943425</v>
      </c>
      <c r="I56" s="8" t="n">
        <v>15550061</v>
      </c>
      <c r="J56" s="8" t="n">
        <v>15116786</v>
      </c>
      <c r="K56" s="8" t="n">
        <v>14773260</v>
      </c>
    </row>
    <row r="57">
      <c r="A57" s="5" t="inlineStr">
        <is>
          <t>Common stock and additional paid-in capital, $0.00001 par value: 50,400,000 shares authorized; 15,550,061 and 15,943,425 shares issued and outstanding, respectively</t>
        </is>
      </c>
      <c r="B57" s="5" t="n"/>
      <c r="C57" s="5" t="n"/>
      <c r="D57" s="5" t="n"/>
      <c r="E57" s="5" t="n"/>
      <c r="F57" s="5" t="n"/>
      <c r="G57" s="5" t="n"/>
      <c r="H57" s="8" t="n">
        <v>64849</v>
      </c>
      <c r="I57" s="5" t="n"/>
      <c r="J57" s="5" t="n"/>
      <c r="K57" s="5" t="n"/>
    </row>
    <row r="58">
      <c r="A58" s="5" t="inlineStr">
        <is>
          <t>Accumulated deficit</t>
        </is>
      </c>
      <c r="B58" s="5" t="n"/>
      <c r="C58" s="5" t="n"/>
      <c r="D58" s="5" t="n"/>
      <c r="E58" s="5" t="n"/>
      <c r="F58" s="5" t="n"/>
      <c r="G58" s="5" t="n"/>
      <c r="H58" s="8" t="n">
        <v>-3068</v>
      </c>
      <c r="I58" s="8" t="n">
        <v>-214</v>
      </c>
      <c r="J58" s="8" t="n">
        <v>-19154</v>
      </c>
      <c r="K58" s="8" t="n">
        <v>-14264</v>
      </c>
    </row>
    <row r="59">
      <c r="A59" s="5" t="inlineStr">
        <is>
          <t>Accumulated other comprehensive loss</t>
        </is>
      </c>
      <c r="B59" s="5" t="n"/>
      <c r="C59" s="5" t="n"/>
      <c r="D59" s="5" t="n"/>
      <c r="E59" s="5" t="n"/>
      <c r="F59" s="5" t="n"/>
      <c r="G59" s="5" t="n"/>
      <c r="H59" s="8" t="n">
        <v>-11109</v>
      </c>
      <c r="I59" s="8" t="n">
        <v>-11452</v>
      </c>
      <c r="J59" s="8" t="n">
        <v>-7172</v>
      </c>
      <c r="K59" s="8" t="n">
        <v>-5571</v>
      </c>
    </row>
    <row r="60">
      <c r="A60" s="5" t="inlineStr">
        <is>
          <t>Common stock and additional paid-in capital, $0.00001 par value: 50,400,000 shares authorized; 15,116,786 and 15,550,061 shares issued and outstanding, respectively</t>
        </is>
      </c>
      <c r="B60" s="5" t="n"/>
      <c r="C60" s="5" t="n"/>
      <c r="D60" s="5" t="n"/>
      <c r="E60" s="5" t="n"/>
      <c r="F60" s="5" t="n"/>
      <c r="G60" s="5" t="n"/>
      <c r="H60" s="5" t="n"/>
      <c r="I60" s="8" t="n">
        <v>73812</v>
      </c>
      <c r="J60" s="5" t="n"/>
      <c r="K60" s="5" t="n"/>
    </row>
    <row r="61">
      <c r="A61" s="5" t="inlineStr">
        <is>
          <t>Common stock and additional paid-in capital, $0.00001 par value: 50,400,000 shares authorized; 14,773,260 and 15,116,786 shares issued and outstanding, respectively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8" t="n">
        <v>83276</v>
      </c>
      <c r="K61" s="8" t="n">
        <v>93568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CONSOLIDATED STATEMENTS OF CASH FLOWS - USD ($) $ in Millions</t>
        </is>
      </c>
    </row>
    <row r="3">
      <c r="A3" s="7" t="inlineStr">
        <is>
          <t>Line Item</t>
        </is>
      </c>
      <c r="B3" s="7" t="inlineStr">
        <is>
          <t>2016-09-24</t>
        </is>
      </c>
      <c r="C3" s="7" t="inlineStr">
        <is>
          <t>2017-09-30</t>
        </is>
      </c>
      <c r="D3" s="7" t="inlineStr">
        <is>
          <t>2018-09-29</t>
        </is>
      </c>
      <c r="E3" s="7" t="inlineStr">
        <is>
          <t>2019-09-28</t>
        </is>
      </c>
      <c r="F3" s="7" t="inlineStr">
        <is>
          <t>2020-09-26</t>
        </is>
      </c>
      <c r="G3" s="7" t="inlineStr">
        <is>
          <t>2021-09-25</t>
        </is>
      </c>
      <c r="H3" s="7" t="inlineStr">
        <is>
          <t>2022-09-24</t>
        </is>
      </c>
      <c r="I3" s="7" t="inlineStr">
        <is>
          <t>2023-09-30</t>
        </is>
      </c>
      <c r="J3" s="7" t="inlineStr">
        <is>
          <t>2024-09-28</t>
        </is>
      </c>
      <c r="K3" s="7" t="inlineStr">
        <is>
          <t>2025-09-27</t>
        </is>
      </c>
    </row>
    <row r="4">
      <c r="A4" s="5" t="inlineStr">
        <is>
          <t>Statement of Cash Flows [Abstract]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5" t="inlineStr">
        <is>
          <t>Cash and cash equivalents, beginning of the year</t>
        </is>
      </c>
      <c r="B5" s="8" t="n">
        <v>21120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5" t="inlineStr">
        <is>
          <t>Operating activities: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inlineStr">
        <is>
          <t>Net income</t>
        </is>
      </c>
      <c r="B7" s="8" t="n">
        <v>45687</v>
      </c>
      <c r="C7" s="8" t="n">
        <v>48351</v>
      </c>
      <c r="D7" s="8" t="n">
        <v>59531</v>
      </c>
      <c r="E7" s="8" t="n">
        <v>55256</v>
      </c>
      <c r="F7" s="8" t="n">
        <v>57411</v>
      </c>
      <c r="G7" s="8" t="n">
        <v>94680</v>
      </c>
      <c r="H7" s="8" t="n">
        <v>99803</v>
      </c>
      <c r="I7" s="8" t="n">
        <v>96995</v>
      </c>
      <c r="J7" s="8" t="n">
        <v>93736</v>
      </c>
      <c r="K7" s="8" t="n">
        <v>112010</v>
      </c>
    </row>
    <row r="8">
      <c r="A8" s="5" t="inlineStr">
        <is>
          <t>Adjustments to reconcile net income to cash generated by operating activities: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inlineStr">
        <is>
          <t>Depreciation and amortization</t>
        </is>
      </c>
      <c r="B9" s="8" t="n">
        <v>10505</v>
      </c>
      <c r="C9" s="8" t="n">
        <v>10157</v>
      </c>
      <c r="D9" s="8" t="n">
        <v>10903</v>
      </c>
      <c r="E9" s="8" t="n">
        <v>12547</v>
      </c>
      <c r="F9" s="8" t="n">
        <v>11056</v>
      </c>
      <c r="G9" s="8" t="n">
        <v>11284</v>
      </c>
      <c r="H9" s="8" t="n">
        <v>11104</v>
      </c>
      <c r="I9" s="8" t="n">
        <v>11519</v>
      </c>
      <c r="J9" s="8" t="n">
        <v>11445</v>
      </c>
      <c r="K9" s="8" t="n">
        <v>11698</v>
      </c>
    </row>
    <row r="10">
      <c r="A10" s="5" t="inlineStr">
        <is>
          <t>Share-based compensation expense</t>
        </is>
      </c>
      <c r="B10" s="8" t="n">
        <v>4210</v>
      </c>
      <c r="C10" s="8" t="n">
        <v>4840</v>
      </c>
      <c r="D10" s="8" t="n">
        <v>5340</v>
      </c>
      <c r="E10" s="8" t="n">
        <v>6068</v>
      </c>
      <c r="F10" s="8" t="n">
        <v>6829</v>
      </c>
      <c r="G10" s="8" t="n">
        <v>7906</v>
      </c>
      <c r="H10" s="8" t="n">
        <v>9038</v>
      </c>
      <c r="I10" s="8" t="n">
        <v>10833</v>
      </c>
      <c r="J10" s="8" t="n">
        <v>11688</v>
      </c>
      <c r="K10" s="8" t="n">
        <v>12863</v>
      </c>
    </row>
    <row r="11">
      <c r="A11" s="5" t="inlineStr">
        <is>
          <t>Deferred income tax expense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inlineStr">
        <is>
          <t>Changes in operating assets and liabilities: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Accounts receivable, net</t>
        </is>
      </c>
      <c r="B13" s="8" t="n">
        <v>527</v>
      </c>
      <c r="C13" s="8" t="n">
        <v>-2093</v>
      </c>
      <c r="D13" s="8" t="n">
        <v>-5322</v>
      </c>
      <c r="E13" s="8" t="n">
        <v>245</v>
      </c>
      <c r="F13" s="8" t="n">
        <v>6917</v>
      </c>
      <c r="G13" s="8" t="n">
        <v>-10125</v>
      </c>
      <c r="H13" s="8" t="n">
        <v>-1823</v>
      </c>
      <c r="I13" s="8" t="n">
        <v>-1688</v>
      </c>
      <c r="J13" s="8" t="n">
        <v>-3788</v>
      </c>
      <c r="K13" s="8" t="n">
        <v>-6682</v>
      </c>
    </row>
    <row r="14">
      <c r="A14" s="5" t="inlineStr">
        <is>
          <t>Inventories</t>
        </is>
      </c>
      <c r="B14" s="8" t="n">
        <v>217</v>
      </c>
      <c r="C14" s="8" t="n">
        <v>-2723</v>
      </c>
      <c r="D14" s="8" t="n">
        <v>828</v>
      </c>
      <c r="E14" s="8" t="n">
        <v>-289</v>
      </c>
      <c r="F14" s="8" t="n">
        <v>-127</v>
      </c>
      <c r="G14" s="8" t="n">
        <v>-2642</v>
      </c>
      <c r="H14" s="8" t="n">
        <v>1484</v>
      </c>
      <c r="I14" s="8" t="n">
        <v>-1618</v>
      </c>
      <c r="J14" s="8" t="n">
        <v>-1046</v>
      </c>
      <c r="K14" s="8" t="n">
        <v>1400</v>
      </c>
    </row>
    <row r="15">
      <c r="A15" s="5" t="inlineStr">
        <is>
          <t>Vendor non-trade receivables</t>
        </is>
      </c>
      <c r="B15" s="8" t="n">
        <v>-51</v>
      </c>
      <c r="C15" s="8" t="n">
        <v>-4254</v>
      </c>
      <c r="D15" s="8" t="n">
        <v>-8010</v>
      </c>
      <c r="E15" s="8" t="n">
        <v>2931</v>
      </c>
      <c r="F15" s="8" t="n">
        <v>1553</v>
      </c>
      <c r="G15" s="8" t="n">
        <v>-3903</v>
      </c>
      <c r="H15" s="8" t="n">
        <v>-7520</v>
      </c>
      <c r="I15" s="8" t="n">
        <v>1271</v>
      </c>
      <c r="J15" s="8" t="n">
        <v>-1356</v>
      </c>
      <c r="K15" s="8" t="n">
        <v>-347</v>
      </c>
    </row>
    <row r="16">
      <c r="A16" s="5" t="inlineStr">
        <is>
          <t>Other current and non-current assets</t>
        </is>
      </c>
      <c r="B16" s="8" t="n">
        <v>1055</v>
      </c>
      <c r="C16" s="8" t="n">
        <v>-5318</v>
      </c>
      <c r="D16" s="8" t="n">
        <v>-423</v>
      </c>
      <c r="E16" s="8" t="n">
        <v>873</v>
      </c>
      <c r="F16" s="8" t="n">
        <v>-9588</v>
      </c>
      <c r="G16" s="8" t="n">
        <v>-8042</v>
      </c>
      <c r="H16" s="8" t="n">
        <v>-6499</v>
      </c>
      <c r="I16" s="8" t="n">
        <v>-5684</v>
      </c>
      <c r="J16" s="8" t="n">
        <v>-11731</v>
      </c>
      <c r="K16" s="8" t="n">
        <v>-9197</v>
      </c>
    </row>
    <row r="17">
      <c r="A17" s="5" t="inlineStr">
        <is>
          <t>Accounts payable</t>
        </is>
      </c>
      <c r="B17" s="8" t="n">
        <v>2117</v>
      </c>
      <c r="C17" s="8" t="n">
        <v>8966</v>
      </c>
      <c r="D17" s="8" t="n">
        <v>9175</v>
      </c>
      <c r="E17" s="8" t="n">
        <v>-1923</v>
      </c>
      <c r="F17" s="8" t="n">
        <v>-4062</v>
      </c>
      <c r="G17" s="8" t="n">
        <v>12326</v>
      </c>
      <c r="H17" s="8" t="n">
        <v>9448</v>
      </c>
      <c r="I17" s="8" t="n">
        <v>-1889</v>
      </c>
      <c r="J17" s="8" t="n">
        <v>6020</v>
      </c>
      <c r="K17" s="8" t="n">
        <v>902</v>
      </c>
    </row>
    <row r="18">
      <c r="A18" s="5" t="inlineStr">
        <is>
          <t>Deferred revenue</t>
        </is>
      </c>
      <c r="B18" s="8" t="n">
        <v>-1554</v>
      </c>
      <c r="C18" s="8" t="n">
        <v>-593</v>
      </c>
      <c r="D18" s="8" t="n">
        <v>-3</v>
      </c>
      <c r="E18" s="8" t="n">
        <v>-625</v>
      </c>
      <c r="F18" s="8" t="n">
        <v>2081</v>
      </c>
      <c r="G18" s="5" t="n"/>
      <c r="H18" s="5" t="n"/>
      <c r="I18" s="5" t="n"/>
      <c r="J18" s="5" t="n"/>
      <c r="K18" s="5" t="n"/>
    </row>
    <row r="19">
      <c r="A19" s="5" t="inlineStr">
        <is>
          <t>Other current and non-current liabilities</t>
        </is>
      </c>
      <c r="B19" s="8" t="n">
        <v>-1906</v>
      </c>
      <c r="C19" s="8" t="n">
        <v>1092</v>
      </c>
      <c r="D19" s="8" t="n">
        <v>38449</v>
      </c>
      <c r="E19" s="8" t="n">
        <v>-4700</v>
      </c>
      <c r="F19" s="8" t="n">
        <v>8916</v>
      </c>
      <c r="G19" s="8" t="n">
        <v>7475</v>
      </c>
      <c r="H19" s="8" t="n">
        <v>6110</v>
      </c>
      <c r="I19" s="8" t="n">
        <v>3031</v>
      </c>
      <c r="J19" s="8" t="n">
        <v>15552</v>
      </c>
      <c r="K19" s="8" t="n">
        <v>-11076</v>
      </c>
    </row>
    <row r="20">
      <c r="A20" s="5" t="inlineStr">
        <is>
          <t>Cash generated by operating activities</t>
        </is>
      </c>
      <c r="B20" s="8" t="n">
        <v>66231</v>
      </c>
      <c r="C20" s="8" t="n">
        <v>64225</v>
      </c>
      <c r="D20" s="8" t="n">
        <v>77434</v>
      </c>
      <c r="E20" s="8" t="n">
        <v>69391</v>
      </c>
      <c r="F20" s="8" t="n">
        <v>80674</v>
      </c>
      <c r="G20" s="8" t="n">
        <v>104038</v>
      </c>
      <c r="H20" s="8" t="n">
        <v>122151</v>
      </c>
      <c r="I20" s="8" t="n">
        <v>110543</v>
      </c>
      <c r="J20" s="8" t="n">
        <v>118254</v>
      </c>
      <c r="K20" s="8" t="n">
        <v>111482</v>
      </c>
    </row>
    <row r="21">
      <c r="A21" s="5" t="inlineStr">
        <is>
          <t>Investing activities: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inlineStr">
        <is>
          <t>Purchases of marketable securities</t>
        </is>
      </c>
      <c r="B22" s="8" t="n">
        <v>-142428</v>
      </c>
      <c r="C22" s="8" t="n">
        <v>-159486</v>
      </c>
      <c r="D22" s="8" t="n">
        <v>-71356</v>
      </c>
      <c r="E22" s="8" t="n">
        <v>-39630</v>
      </c>
      <c r="F22" s="8" t="n">
        <v>-114938</v>
      </c>
      <c r="G22" s="8" t="n">
        <v>-109558</v>
      </c>
      <c r="H22" s="8" t="n">
        <v>-76923</v>
      </c>
      <c r="I22" s="8" t="n">
        <v>-29513</v>
      </c>
      <c r="J22" s="8" t="n">
        <v>-48656</v>
      </c>
      <c r="K22" s="8" t="n">
        <v>-24407</v>
      </c>
    </row>
    <row r="23">
      <c r="A23" s="5" t="inlineStr">
        <is>
          <t>Proceeds from maturities of marketable securities</t>
        </is>
      </c>
      <c r="B23" s="8" t="n">
        <v>21258</v>
      </c>
      <c r="C23" s="8" t="n">
        <v>31775</v>
      </c>
      <c r="D23" s="8" t="n">
        <v>55881</v>
      </c>
      <c r="E23" s="8" t="n">
        <v>40102</v>
      </c>
      <c r="F23" s="8" t="n">
        <v>69918</v>
      </c>
      <c r="G23" s="8" t="n">
        <v>59023</v>
      </c>
      <c r="H23" s="8" t="n">
        <v>29917</v>
      </c>
      <c r="I23" s="8" t="n">
        <v>39686</v>
      </c>
      <c r="J23" s="8" t="n">
        <v>51211</v>
      </c>
      <c r="K23" s="8" t="n">
        <v>40907</v>
      </c>
    </row>
    <row r="24">
      <c r="A24" s="5" t="inlineStr">
        <is>
          <t>Proceeds from sales of marketable securities</t>
        </is>
      </c>
      <c r="B24" s="8" t="n">
        <v>90536</v>
      </c>
      <c r="C24" s="8" t="n">
        <v>94564</v>
      </c>
      <c r="D24" s="8" t="n">
        <v>47838</v>
      </c>
      <c r="E24" s="8" t="n">
        <v>56988</v>
      </c>
      <c r="F24" s="8" t="n">
        <v>50473</v>
      </c>
      <c r="G24" s="8" t="n">
        <v>47460</v>
      </c>
      <c r="H24" s="8" t="n">
        <v>37446</v>
      </c>
      <c r="I24" s="8" t="n">
        <v>5828</v>
      </c>
      <c r="J24" s="8" t="n">
        <v>11135</v>
      </c>
      <c r="K24" s="8" t="n">
        <v>12890</v>
      </c>
    </row>
    <row r="25">
      <c r="A25" s="5" t="inlineStr">
        <is>
          <t>Payments made in connection with business acquisitions, net</t>
        </is>
      </c>
      <c r="B25" s="8" t="n">
        <v>-297</v>
      </c>
      <c r="C25" s="8" t="n">
        <v>-329</v>
      </c>
      <c r="D25" s="8" t="n">
        <v>-721</v>
      </c>
      <c r="E25" s="8" t="n">
        <v>-624</v>
      </c>
      <c r="F25" s="8" t="n">
        <v>-1524</v>
      </c>
      <c r="G25" s="5" t="n"/>
      <c r="H25" s="5" t="n"/>
      <c r="I25" s="5" t="n"/>
      <c r="J25" s="5" t="n"/>
      <c r="K25" s="5" t="n"/>
    </row>
    <row r="26">
      <c r="A26" s="5" t="inlineStr">
        <is>
          <t>Payments for acquisition of property, plant and equipment</t>
        </is>
      </c>
      <c r="B26" s="8" t="n">
        <v>-12734</v>
      </c>
      <c r="C26" s="8" t="n">
        <v>-12451</v>
      </c>
      <c r="D26" s="8" t="n">
        <v>-13313</v>
      </c>
      <c r="E26" s="8" t="n">
        <v>-10495</v>
      </c>
      <c r="F26" s="8" t="n">
        <v>-7309</v>
      </c>
      <c r="G26" s="8" t="n">
        <v>-11085</v>
      </c>
      <c r="H26" s="8" t="n">
        <v>-10708</v>
      </c>
      <c r="I26" s="8" t="n">
        <v>-10959</v>
      </c>
      <c r="J26" s="8" t="n">
        <v>-9447</v>
      </c>
      <c r="K26" s="8" t="n">
        <v>-12715</v>
      </c>
    </row>
    <row r="27">
      <c r="A27" s="5" t="inlineStr">
        <is>
          <t>Payments for acquisition of intangible assets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inlineStr">
        <is>
          <t>Payments for strategic investments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inlineStr">
        <is>
          <t>Other</t>
        </is>
      </c>
      <c r="B29" s="8" t="n">
        <v>486</v>
      </c>
      <c r="C29" s="8" t="n">
        <v>-166</v>
      </c>
      <c r="D29" s="8" t="n">
        <v>-444</v>
      </c>
      <c r="E29" s="8" t="n">
        <v>-652</v>
      </c>
      <c r="F29" s="8" t="n">
        <v>-97</v>
      </c>
      <c r="G29" s="8" t="n">
        <v>-4921</v>
      </c>
      <c r="H29" s="8" t="n">
        <v>1006</v>
      </c>
      <c r="I29" s="8" t="n">
        <v>-2227</v>
      </c>
      <c r="J29" s="8" t="n">
        <v>-2266</v>
      </c>
      <c r="K29" s="8" t="n">
        <v>-89</v>
      </c>
    </row>
    <row r="30">
      <c r="A30" s="5" t="inlineStr">
        <is>
          <t>Cash used in investing activities</t>
        </is>
      </c>
      <c r="B30" s="5" t="n"/>
      <c r="C30" s="5" t="n"/>
      <c r="D30" s="5" t="n"/>
      <c r="E30" s="5" t="n"/>
      <c r="F30" s="8" t="n">
        <v>-4289</v>
      </c>
      <c r="G30" s="5" t="n"/>
      <c r="H30" s="5" t="n"/>
      <c r="I30" s="5" t="n"/>
      <c r="J30" s="5" t="n"/>
      <c r="K30" s="5" t="n"/>
    </row>
    <row r="31">
      <c r="A31" s="5" t="inlineStr">
        <is>
          <t>Financing activities: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inlineStr">
        <is>
          <t>Proceeds from issuance of common stock</t>
        </is>
      </c>
      <c r="B32" s="8" t="n">
        <v>495</v>
      </c>
      <c r="C32" s="8" t="n">
        <v>555</v>
      </c>
      <c r="D32" s="8" t="n">
        <v>669</v>
      </c>
      <c r="E32" s="8" t="n">
        <v>781</v>
      </c>
      <c r="F32" s="5" t="n"/>
      <c r="G32" s="5" t="n"/>
      <c r="H32" s="5" t="n"/>
      <c r="I32" s="5" t="n"/>
      <c r="J32" s="5" t="n"/>
      <c r="K32" s="5" t="n"/>
    </row>
    <row r="33">
      <c r="A33" s="5" t="inlineStr">
        <is>
          <t>Excess tax benefits from equity awards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inlineStr">
        <is>
          <t>Payments for taxes related to net share settlement of equity awards</t>
        </is>
      </c>
      <c r="B34" s="8" t="n">
        <v>-1570</v>
      </c>
      <c r="C34" s="8" t="n">
        <v>-1874</v>
      </c>
      <c r="D34" s="8" t="n">
        <v>-2527</v>
      </c>
      <c r="E34" s="8" t="n">
        <v>-2817</v>
      </c>
      <c r="F34" s="8" t="n">
        <v>-3634</v>
      </c>
      <c r="G34" s="8" t="n">
        <v>-6556</v>
      </c>
      <c r="H34" s="8" t="n">
        <v>-6223</v>
      </c>
      <c r="I34" s="8" t="n">
        <v>-5431</v>
      </c>
      <c r="J34" s="8" t="n">
        <v>-5441</v>
      </c>
      <c r="K34" s="8" t="n">
        <v>-5960</v>
      </c>
    </row>
    <row r="35">
      <c r="A35" s="5" t="inlineStr">
        <is>
          <t>Payments for dividends and dividend equivalents</t>
        </is>
      </c>
      <c r="B35" s="8" t="n">
        <v>12150</v>
      </c>
      <c r="C35" s="8" t="n">
        <v>12769</v>
      </c>
      <c r="D35" s="8" t="n">
        <v>-13712</v>
      </c>
      <c r="E35" s="8" t="n">
        <v>-14119</v>
      </c>
      <c r="F35" s="8" t="n">
        <v>-14081</v>
      </c>
      <c r="G35" s="8" t="n">
        <v>-14467</v>
      </c>
      <c r="H35" s="8" t="n">
        <v>-14841</v>
      </c>
      <c r="I35" s="8" t="n">
        <v>-15025</v>
      </c>
      <c r="J35" s="8" t="n">
        <v>-15234</v>
      </c>
      <c r="K35" s="8" t="n">
        <v>-15421</v>
      </c>
    </row>
    <row r="36">
      <c r="A36" s="5" t="inlineStr">
        <is>
          <t>Repurchases of common stock</t>
        </is>
      </c>
      <c r="B36" s="8" t="n">
        <v>-29722</v>
      </c>
      <c r="C36" s="8" t="n">
        <v>-32900</v>
      </c>
      <c r="D36" s="8" t="n">
        <v>-72738</v>
      </c>
      <c r="E36" s="8" t="n">
        <v>-66897</v>
      </c>
      <c r="F36" s="8" t="n">
        <v>-72358</v>
      </c>
      <c r="G36" s="8" t="n">
        <v>-85971</v>
      </c>
      <c r="H36" s="8" t="n">
        <v>-89402</v>
      </c>
      <c r="I36" s="8" t="n">
        <v>-77550</v>
      </c>
      <c r="J36" s="8" t="n">
        <v>-94949</v>
      </c>
      <c r="K36" s="8" t="n">
        <v>-90711</v>
      </c>
    </row>
    <row r="37">
      <c r="A37" s="5" t="inlineStr">
        <is>
          <t>Proceeds from issuance of term debt, net</t>
        </is>
      </c>
      <c r="B37" s="8" t="n">
        <v>24954</v>
      </c>
      <c r="C37" s="8" t="n">
        <v>28662</v>
      </c>
      <c r="D37" s="8" t="n">
        <v>6969</v>
      </c>
      <c r="E37" s="8" t="n">
        <v>6963</v>
      </c>
      <c r="F37" s="8" t="n">
        <v>16091</v>
      </c>
      <c r="G37" s="8" t="n">
        <v>20393</v>
      </c>
      <c r="H37" s="8" t="n">
        <v>5465</v>
      </c>
      <c r="I37" s="8" t="n">
        <v>5228</v>
      </c>
      <c r="J37" s="8" t="n">
        <v>0</v>
      </c>
      <c r="K37" s="8" t="n">
        <v>4481</v>
      </c>
    </row>
    <row r="38">
      <c r="A38" s="5" t="inlineStr">
        <is>
          <t>Repayments of term debt</t>
        </is>
      </c>
      <c r="B38" s="8" t="n">
        <v>-2500</v>
      </c>
      <c r="C38" s="8" t="n">
        <v>-3500</v>
      </c>
      <c r="D38" s="8" t="n">
        <v>-6500</v>
      </c>
      <c r="E38" s="8" t="n">
        <v>-8805</v>
      </c>
      <c r="F38" s="8" t="n">
        <v>-12629</v>
      </c>
      <c r="G38" s="8" t="n">
        <v>-8750</v>
      </c>
      <c r="H38" s="8" t="n">
        <v>-9543</v>
      </c>
      <c r="I38" s="8" t="n">
        <v>-11151</v>
      </c>
      <c r="J38" s="8" t="n">
        <v>-9958</v>
      </c>
      <c r="K38" s="8" t="n">
        <v>-10932</v>
      </c>
    </row>
    <row r="39">
      <c r="A39" s="5" t="inlineStr">
        <is>
          <t>Change in commercial paper, net</t>
        </is>
      </c>
      <c r="B39" s="8" t="n">
        <v>-397</v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inlineStr">
        <is>
          <t>Cash used in financing activities</t>
        </is>
      </c>
      <c r="B40" s="8" t="n">
        <v>-20890</v>
      </c>
      <c r="C40" s="8" t="n">
        <v>-17974</v>
      </c>
      <c r="D40" s="8" t="n">
        <v>-87876</v>
      </c>
      <c r="E40" s="8" t="n">
        <v>-90976</v>
      </c>
      <c r="F40" s="8" t="n">
        <v>-86820</v>
      </c>
      <c r="G40" s="8" t="n">
        <v>-93353</v>
      </c>
      <c r="H40" s="8" t="n">
        <v>-110749</v>
      </c>
      <c r="I40" s="8" t="n">
        <v>-108488</v>
      </c>
      <c r="J40" s="8" t="n">
        <v>-121983</v>
      </c>
      <c r="K40" s="8" t="n">
        <v>-120686</v>
      </c>
    </row>
    <row r="41">
      <c r="A41" s="5" t="inlineStr">
        <is>
          <t>Increase/(Decrease) in cash and cash equivalents</t>
        </is>
      </c>
      <c r="B41" s="8" t="n">
        <v>-636</v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inlineStr">
        <is>
          <t>Cash and cash equivalents, end of the year</t>
        </is>
      </c>
      <c r="B42" s="8" t="n">
        <v>20484</v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inlineStr">
        <is>
          <t>Supplemental cash flow disclosure: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inlineStr">
        <is>
          <t>Cash paid for income taxes, net</t>
        </is>
      </c>
      <c r="B44" s="8" t="n">
        <v>10444</v>
      </c>
      <c r="C44" s="8" t="n">
        <v>11591</v>
      </c>
      <c r="D44" s="8" t="n">
        <v>10417</v>
      </c>
      <c r="E44" s="8" t="n">
        <v>15263</v>
      </c>
      <c r="F44" s="8" t="n">
        <v>9501</v>
      </c>
      <c r="G44" s="8" t="n">
        <v>25385</v>
      </c>
      <c r="H44" s="8" t="n">
        <v>19573</v>
      </c>
      <c r="I44" s="8" t="n">
        <v>18679</v>
      </c>
      <c r="J44" s="8" t="n">
        <v>26102</v>
      </c>
      <c r="K44" s="8" t="n">
        <v>43369</v>
      </c>
    </row>
    <row r="45">
      <c r="A45" s="5" t="inlineStr">
        <is>
          <t>Cash paid for interest</t>
        </is>
      </c>
      <c r="B45" s="8" t="n">
        <v>1316</v>
      </c>
      <c r="C45" s="8" t="n">
        <v>2092</v>
      </c>
      <c r="D45" s="8" t="n">
        <v>3022</v>
      </c>
      <c r="E45" s="8" t="n">
        <v>3423</v>
      </c>
      <c r="F45" s="8" t="n">
        <v>3002</v>
      </c>
      <c r="G45" s="8" t="n">
        <v>2687</v>
      </c>
      <c r="H45" s="5" t="n"/>
      <c r="I45" s="5" t="n"/>
      <c r="J45" s="5" t="n"/>
      <c r="K45" s="5" t="n"/>
    </row>
    <row r="46">
      <c r="A46" s="5" t="inlineStr">
        <is>
          <t>Payments for strategic investments, net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inlineStr">
        <is>
          <t>Other (2)</t>
        </is>
      </c>
      <c r="B47" s="8" t="n">
        <v>-924</v>
      </c>
      <c r="C47" s="8" t="n">
        <v>-124</v>
      </c>
      <c r="D47" s="8" t="n">
        <v>-745</v>
      </c>
      <c r="E47" s="8" t="n">
        <v>-1078</v>
      </c>
      <c r="F47" s="8" t="n">
        <v>-909</v>
      </c>
      <c r="G47" s="8" t="n">
        <v>-385</v>
      </c>
      <c r="H47" s="8" t="n">
        <v>-2086</v>
      </c>
      <c r="I47" s="8" t="n">
        <v>-1337</v>
      </c>
      <c r="J47" s="8" t="n">
        <v>-1308</v>
      </c>
      <c r="K47" s="8" t="n">
        <v>-1480</v>
      </c>
    </row>
    <row r="48">
      <c r="A48" s="5" t="inlineStr">
        <is>
          <t>Deferred income tax expense/(benefit)</t>
        </is>
      </c>
      <c r="B48" s="8" t="n">
        <v>4938</v>
      </c>
      <c r="C48" s="8" t="n">
        <v>5966</v>
      </c>
      <c r="D48" s="5" t="n"/>
      <c r="E48" s="5" t="n"/>
      <c r="F48" s="8" t="n">
        <v>-215</v>
      </c>
      <c r="G48" s="5" t="n"/>
      <c r="H48" s="5" t="n"/>
      <c r="I48" s="5" t="n"/>
      <c r="J48" s="5" t="n"/>
      <c r="K48" s="5" t="n"/>
    </row>
    <row r="49">
      <c r="A49" s="5" t="inlineStr">
        <is>
          <t>Purchases of non-marketable securities</t>
        </is>
      </c>
      <c r="B49" s="8" t="n">
        <v>-1388</v>
      </c>
      <c r="C49" s="8" t="n">
        <v>-521</v>
      </c>
      <c r="D49" s="8" t="n">
        <v>-1871</v>
      </c>
      <c r="E49" s="8" t="n">
        <v>-1001</v>
      </c>
      <c r="F49" s="5" t="n"/>
      <c r="G49" s="5" t="n"/>
      <c r="H49" s="5" t="n"/>
      <c r="I49" s="5" t="n"/>
      <c r="J49" s="5" t="n"/>
      <c r="K49" s="5" t="n"/>
    </row>
    <row r="50">
      <c r="A50" s="5" t="inlineStr">
        <is>
          <t>Proceeds from non-marketable securities</t>
        </is>
      </c>
      <c r="B50" s="8" t="n">
        <v>0</v>
      </c>
      <c r="C50" s="8" t="n">
        <v>126</v>
      </c>
      <c r="D50" s="8" t="n">
        <v>353</v>
      </c>
      <c r="E50" s="8" t="n">
        <v>1634</v>
      </c>
      <c r="F50" s="5" t="n"/>
      <c r="G50" s="5" t="n"/>
      <c r="H50" s="5" t="n"/>
      <c r="I50" s="5" t="n"/>
      <c r="J50" s="5" t="n"/>
      <c r="K50" s="5" t="n"/>
    </row>
    <row r="51">
      <c r="A51" s="5" t="inlineStr">
        <is>
          <t>Cash generated by/(used in) investing activities</t>
        </is>
      </c>
      <c r="B51" s="8" t="n">
        <v>-45977</v>
      </c>
      <c r="C51" s="8" t="n">
        <v>-46446</v>
      </c>
      <c r="D51" s="8" t="n">
        <v>16066</v>
      </c>
      <c r="E51" s="8" t="n">
        <v>45896</v>
      </c>
      <c r="F51" s="5" t="n"/>
      <c r="G51" s="8" t="n">
        <v>-14545</v>
      </c>
      <c r="H51" s="8" t="n">
        <v>-22354</v>
      </c>
      <c r="I51" s="5" t="n"/>
      <c r="J51" s="5" t="n"/>
      <c r="K51" s="5" t="n"/>
    </row>
    <row r="52">
      <c r="A52" s="5" t="inlineStr">
        <is>
          <t>Cash, cash equivalents and restricted cash, beginning balances</t>
        </is>
      </c>
      <c r="B52" s="5" t="n"/>
      <c r="C52" s="8" t="n">
        <v>20484</v>
      </c>
      <c r="D52" s="8" t="n">
        <v>20289</v>
      </c>
      <c r="E52" s="8" t="n">
        <v>25913</v>
      </c>
      <c r="F52" s="8" t="n">
        <v>50224</v>
      </c>
      <c r="G52" s="8" t="n">
        <v>39789</v>
      </c>
      <c r="H52" s="5" t="n"/>
      <c r="I52" s="5" t="n"/>
      <c r="J52" s="5" t="n"/>
      <c r="K52" s="5" t="n"/>
    </row>
    <row r="53">
      <c r="A53" s="5" t="inlineStr">
        <is>
          <t>Proceeds from/(Repayments of) commercial paper, net</t>
        </is>
      </c>
      <c r="B53" s="5" t="n"/>
      <c r="C53" s="8" t="n">
        <v>3852</v>
      </c>
      <c r="D53" s="5" t="n"/>
      <c r="E53" s="8" t="n">
        <v>-5977</v>
      </c>
      <c r="F53" s="8" t="n">
        <v>-963</v>
      </c>
      <c r="G53" s="8" t="n">
        <v>1022</v>
      </c>
      <c r="H53" s="8" t="n">
        <v>3955</v>
      </c>
      <c r="I53" s="8" t="n">
        <v>-3978</v>
      </c>
      <c r="J53" s="8" t="n">
        <v>3960</v>
      </c>
      <c r="K53" s="8" t="n">
        <v>-2032</v>
      </c>
    </row>
    <row r="54">
      <c r="A54" s="5" t="inlineStr">
        <is>
          <t>Other (3)</t>
        </is>
      </c>
      <c r="B54" s="5" t="n"/>
      <c r="C54" s="8" t="n">
        <v>0</v>
      </c>
      <c r="D54" s="8" t="n">
        <v>0</v>
      </c>
      <c r="E54" s="8" t="n">
        <v>-105</v>
      </c>
      <c r="F54" s="8" t="n">
        <v>754</v>
      </c>
      <c r="G54" s="8" t="n">
        <v>976</v>
      </c>
      <c r="H54" s="8" t="n">
        <v>-160</v>
      </c>
      <c r="I54" s="8" t="n">
        <v>-581</v>
      </c>
      <c r="J54" s="8" t="n">
        <v>-361</v>
      </c>
      <c r="K54" s="8" t="n">
        <v>-111</v>
      </c>
    </row>
    <row r="55">
      <c r="A55" s="5" t="inlineStr">
        <is>
          <t>Increase/(Decrease) in cash, cash equivalents and restricted cash</t>
        </is>
      </c>
      <c r="B55" s="5" t="n"/>
      <c r="C55" s="8" t="n">
        <v>-195</v>
      </c>
      <c r="D55" s="8" t="n">
        <v>5624</v>
      </c>
      <c r="E55" s="8" t="n">
        <v>24311</v>
      </c>
      <c r="F55" s="5" t="n"/>
      <c r="G55" s="8" t="n">
        <v>-3860</v>
      </c>
      <c r="H55" s="5" t="n"/>
      <c r="I55" s="5" t="n"/>
      <c r="J55" s="5" t="n"/>
      <c r="K55" s="5" t="n"/>
    </row>
    <row r="56">
      <c r="A56" s="5" t="inlineStr">
        <is>
          <t>Cash, cash equivalents and restricted cash, ending balances</t>
        </is>
      </c>
      <c r="B56" s="5" t="n"/>
      <c r="C56" s="8" t="n">
        <v>20289</v>
      </c>
      <c r="D56" s="8" t="n">
        <v>25913</v>
      </c>
      <c r="E56" s="8" t="n">
        <v>50224</v>
      </c>
      <c r="F56" s="8" t="n">
        <v>39789</v>
      </c>
      <c r="G56" s="8" t="n">
        <v>35929</v>
      </c>
      <c r="H56" s="5" t="n"/>
      <c r="I56" s="5" t="n"/>
      <c r="J56" s="5" t="n"/>
      <c r="K56" s="5" t="n"/>
    </row>
    <row r="57">
      <c r="A57" s="5" t="inlineStr">
        <is>
          <t>Deferred income tax benefit</t>
        </is>
      </c>
      <c r="B57" s="5" t="n"/>
      <c r="C57" s="5" t="n"/>
      <c r="D57" s="8" t="n">
        <v>-32590</v>
      </c>
      <c r="E57" s="8" t="n">
        <v>-340</v>
      </c>
      <c r="F57" s="5" t="n"/>
      <c r="G57" s="5" t="n"/>
      <c r="H57" s="5" t="n"/>
      <c r="I57" s="5" t="n"/>
      <c r="J57" s="5" t="n"/>
      <c r="K57" s="5" t="n"/>
    </row>
    <row r="58">
      <c r="A58" s="5" t="inlineStr">
        <is>
          <t>Repayments of commercial paper, net</t>
        </is>
      </c>
      <c r="B58" s="5" t="n"/>
      <c r="C58" s="5" t="n"/>
      <c r="D58" s="8" t="n">
        <v>-37</v>
      </c>
      <c r="E58" s="5" t="n"/>
      <c r="F58" s="5" t="n"/>
      <c r="G58" s="5" t="n"/>
      <c r="H58" s="5" t="n"/>
      <c r="I58" s="5" t="n"/>
      <c r="J58" s="5" t="n"/>
      <c r="K58" s="5" t="n"/>
    </row>
    <row r="59">
      <c r="A59" s="5" t="inlineStr">
        <is>
          <t>Decrease in cash, cash equivalents and restricted cash</t>
        </is>
      </c>
      <c r="B59" s="5" t="n"/>
      <c r="C59" s="5" t="n"/>
      <c r="D59" s="5" t="n"/>
      <c r="E59" s="5" t="n"/>
      <c r="F59" s="8" t="n">
        <v>-10435</v>
      </c>
      <c r="G59" s="5" t="n"/>
      <c r="H59" s="5" t="n"/>
      <c r="I59" s="5" t="n"/>
      <c r="J59" s="5" t="n"/>
      <c r="K59" s="5" t="n"/>
    </row>
    <row r="60">
      <c r="A60" s="5" t="inlineStr">
        <is>
          <t>Cash, cash equivalents, and restricted cash and cash equivalents, beginning balances</t>
        </is>
      </c>
      <c r="B60" s="5" t="n"/>
      <c r="C60" s="5" t="n"/>
      <c r="D60" s="5" t="n"/>
      <c r="E60" s="5" t="n"/>
      <c r="F60" s="5" t="n"/>
      <c r="G60" s="5" t="n"/>
      <c r="H60" s="8" t="n">
        <v>35929</v>
      </c>
      <c r="I60" s="8" t="n">
        <v>24977</v>
      </c>
      <c r="J60" s="8" t="n">
        <v>30737</v>
      </c>
      <c r="K60" s="8" t="n">
        <v>29943</v>
      </c>
    </row>
    <row r="61">
      <c r="A61" s="5" t="inlineStr">
        <is>
          <t>Increase/(Decrease) in cash, cash equivalents, and restricted cash and cash equivalents</t>
        </is>
      </c>
      <c r="B61" s="5" t="n"/>
      <c r="C61" s="5" t="n"/>
      <c r="D61" s="5" t="n"/>
      <c r="E61" s="5" t="n"/>
      <c r="F61" s="5" t="n"/>
      <c r="G61" s="5" t="n"/>
      <c r="H61" s="8" t="n">
        <v>-10952</v>
      </c>
      <c r="I61" s="8" t="n">
        <v>5760</v>
      </c>
      <c r="J61" s="8" t="n">
        <v>-794</v>
      </c>
      <c r="K61" s="8" t="n">
        <v>5991</v>
      </c>
    </row>
    <row r="62">
      <c r="A62" s="5" t="inlineStr">
        <is>
          <t>Cash, cash equivalents, and restricted cash and cash equivalents, ending balances</t>
        </is>
      </c>
      <c r="B62" s="5" t="n"/>
      <c r="C62" s="5" t="n"/>
      <c r="D62" s="5" t="n"/>
      <c r="E62" s="5" t="n"/>
      <c r="F62" s="5" t="n"/>
      <c r="G62" s="5" t="n"/>
      <c r="H62" s="8" t="n">
        <v>24977</v>
      </c>
      <c r="I62" s="8" t="n">
        <v>30737</v>
      </c>
      <c r="J62" s="8" t="n">
        <v>29943</v>
      </c>
      <c r="K62" s="8" t="n">
        <v>35934</v>
      </c>
    </row>
    <row r="63">
      <c r="A63" s="5" t="inlineStr">
        <is>
          <t>Cash generated by investing activities</t>
        </is>
      </c>
      <c r="B63" s="5" t="n"/>
      <c r="C63" s="5" t="n"/>
      <c r="D63" s="5" t="n"/>
      <c r="E63" s="5" t="n"/>
      <c r="F63" s="5" t="n"/>
      <c r="G63" s="5" t="n"/>
      <c r="H63" s="5" t="n"/>
      <c r="I63" s="8" t="n">
        <v>3705</v>
      </c>
      <c r="J63" s="8" t="n">
        <v>2935</v>
      </c>
      <c r="K63" s="8" t="n">
        <v>15195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7" t="inlineStr">
        <is>
          <t>Fiscal Year</t>
        </is>
      </c>
      <c r="B1" s="7" t="inlineStr">
        <is>
          <t>Total Words</t>
        </is>
      </c>
      <c r="C1" s="7" t="inlineStr">
        <is>
          <t>Negative Count</t>
        </is>
      </c>
      <c r="D1" s="7" t="inlineStr">
        <is>
          <t>Negative %</t>
        </is>
      </c>
      <c r="E1" s="7" t="inlineStr">
        <is>
          <t>Positive Count</t>
        </is>
      </c>
      <c r="F1" s="7" t="inlineStr">
        <is>
          <t>Positive %</t>
        </is>
      </c>
      <c r="G1" s="7" t="inlineStr">
        <is>
          <t>Uncertainty Count</t>
        </is>
      </c>
      <c r="H1" s="7" t="inlineStr">
        <is>
          <t>Uncertainty %</t>
        </is>
      </c>
      <c r="I1" s="7" t="inlineStr">
        <is>
          <t>Litigious Count</t>
        </is>
      </c>
      <c r="J1" s="7" t="inlineStr">
        <is>
          <t>Litigious %</t>
        </is>
      </c>
      <c r="K1" s="7" t="inlineStr">
        <is>
          <t>Strong_Modal Count</t>
        </is>
      </c>
      <c r="L1" s="7" t="inlineStr">
        <is>
          <t>Strong_Modal %</t>
        </is>
      </c>
      <c r="M1" s="7" t="inlineStr">
        <is>
          <t>Weak_Modal Count</t>
        </is>
      </c>
      <c r="N1" s="7" t="inlineStr">
        <is>
          <t>Weak_Modal %</t>
        </is>
      </c>
      <c r="O1" s="7" t="inlineStr">
        <is>
          <t>Constraining Count</t>
        </is>
      </c>
      <c r="P1" s="7" t="inlineStr">
        <is>
          <t>Constraining %</t>
        </is>
      </c>
      <c r="Q1" s="7" t="inlineStr">
        <is>
          <t>P/N Ratio</t>
        </is>
      </c>
    </row>
    <row r="2">
      <c r="A2" s="5" t="inlineStr">
        <is>
          <t>FY2016</t>
        </is>
      </c>
      <c r="B2" s="8" t="n">
        <v>8356</v>
      </c>
      <c r="C2" s="8" t="n">
        <v>107</v>
      </c>
      <c r="D2" s="8" t="n">
        <v>1.280516993776927</v>
      </c>
      <c r="E2" s="8" t="n">
        <v>25</v>
      </c>
      <c r="F2" s="8" t="n">
        <v>0.2991862134992819</v>
      </c>
      <c r="G2" s="8" t="n">
        <v>126</v>
      </c>
      <c r="H2" s="8" t="n">
        <v>1.507898516036381</v>
      </c>
      <c r="I2" s="8" t="n">
        <v>65</v>
      </c>
      <c r="J2" s="8" t="n">
        <v>0.777884155098133</v>
      </c>
      <c r="K2" s="8" t="n">
        <v>24</v>
      </c>
      <c r="L2" s="8" t="n">
        <v>0.2872187649593107</v>
      </c>
      <c r="M2" s="8" t="n">
        <v>42</v>
      </c>
      <c r="N2" s="8" t="n">
        <v>0.5026328386787937</v>
      </c>
      <c r="O2" s="8" t="n">
        <v>65</v>
      </c>
      <c r="P2" s="8" t="n">
        <v>0.777884155098133</v>
      </c>
      <c r="Q2" s="8" t="n">
        <v>0.2336448598130841</v>
      </c>
    </row>
    <row r="3">
      <c r="A3" s="5" t="inlineStr">
        <is>
          <t>FY2017</t>
        </is>
      </c>
      <c r="B3" s="8" t="n">
        <v>8556</v>
      </c>
      <c r="C3" s="8" t="n">
        <v>110</v>
      </c>
      <c r="D3" s="8" t="n">
        <v>1.28564749883123</v>
      </c>
      <c r="E3" s="8" t="n">
        <v>25</v>
      </c>
      <c r="F3" s="8" t="n">
        <v>0.292192613370734</v>
      </c>
      <c r="G3" s="8" t="n">
        <v>132</v>
      </c>
      <c r="H3" s="8" t="n">
        <v>1.542776998597476</v>
      </c>
      <c r="I3" s="8" t="n">
        <v>60</v>
      </c>
      <c r="J3" s="8" t="n">
        <v>0.7012622720897616</v>
      </c>
      <c r="K3" s="8" t="n">
        <v>31</v>
      </c>
      <c r="L3" s="8" t="n">
        <v>0.3623188405797101</v>
      </c>
      <c r="M3" s="8" t="n">
        <v>49</v>
      </c>
      <c r="N3" s="8" t="n">
        <v>0.5726975222066386</v>
      </c>
      <c r="O3" s="8" t="n">
        <v>68</v>
      </c>
      <c r="P3" s="8" t="n">
        <v>0.7947639083683965</v>
      </c>
      <c r="Q3" s="8" t="n">
        <v>0.2272727272727273</v>
      </c>
    </row>
    <row r="4">
      <c r="A4" s="5" t="inlineStr">
        <is>
          <t>FY2018</t>
        </is>
      </c>
      <c r="B4" s="8" t="n">
        <v>8182</v>
      </c>
      <c r="C4" s="8" t="n">
        <v>84</v>
      </c>
      <c r="D4" s="8" t="n">
        <v>1.026643852358836</v>
      </c>
      <c r="E4" s="8" t="n">
        <v>35</v>
      </c>
      <c r="F4" s="8" t="n">
        <v>0.4277682718161819</v>
      </c>
      <c r="G4" s="8" t="n">
        <v>123</v>
      </c>
      <c r="H4" s="8" t="n">
        <v>1.503299926668296</v>
      </c>
      <c r="I4" s="8" t="n">
        <v>61</v>
      </c>
      <c r="J4" s="8" t="n">
        <v>0.7455389880224884</v>
      </c>
      <c r="K4" s="8" t="n">
        <v>27</v>
      </c>
      <c r="L4" s="8" t="n">
        <v>0.329992666829626</v>
      </c>
      <c r="M4" s="8" t="n">
        <v>49</v>
      </c>
      <c r="N4" s="8" t="n">
        <v>0.5988755805426547</v>
      </c>
      <c r="O4" s="8" t="n">
        <v>64</v>
      </c>
      <c r="P4" s="8" t="n">
        <v>0.7822048398924468</v>
      </c>
      <c r="Q4" s="8" t="n">
        <v>0.4166666666666667</v>
      </c>
    </row>
    <row r="5">
      <c r="A5" s="5" t="inlineStr">
        <is>
          <t>FY2019</t>
        </is>
      </c>
      <c r="B5" s="8" t="n">
        <v>4718</v>
      </c>
      <c r="C5" s="8" t="n">
        <v>47</v>
      </c>
      <c r="D5" s="8" t="n">
        <v>0.9961848240779991</v>
      </c>
      <c r="E5" s="8" t="n">
        <v>9</v>
      </c>
      <c r="F5" s="8" t="n">
        <v>0.1907587961000424</v>
      </c>
      <c r="G5" s="8" t="n">
        <v>69</v>
      </c>
      <c r="H5" s="8" t="n">
        <v>1.462484103433658</v>
      </c>
      <c r="I5" s="8" t="n">
        <v>30</v>
      </c>
      <c r="J5" s="8" t="n">
        <v>0.6358626536668079</v>
      </c>
      <c r="K5" s="8" t="n">
        <v>10</v>
      </c>
      <c r="L5" s="8" t="n">
        <v>0.211954217888936</v>
      </c>
      <c r="M5" s="8" t="n">
        <v>22</v>
      </c>
      <c r="N5" s="8" t="n">
        <v>0.4662992793556592</v>
      </c>
      <c r="O5" s="8" t="n">
        <v>44</v>
      </c>
      <c r="P5" s="8" t="n">
        <v>0.9325985587113184</v>
      </c>
      <c r="Q5" s="8" t="n">
        <v>0.1914893617021277</v>
      </c>
    </row>
    <row r="6">
      <c r="A6" s="5" t="inlineStr">
        <is>
          <t>FY2020</t>
        </is>
      </c>
      <c r="B6" s="8" t="n">
        <v>4465</v>
      </c>
      <c r="C6" s="8" t="n">
        <v>56</v>
      </c>
      <c r="D6" s="8" t="n">
        <v>1.254199328107503</v>
      </c>
      <c r="E6" s="8" t="n">
        <v>6</v>
      </c>
      <c r="F6" s="8" t="n">
        <v>0.1343784994400896</v>
      </c>
      <c r="G6" s="8" t="n">
        <v>62</v>
      </c>
      <c r="H6" s="8" t="n">
        <v>1.388577827547592</v>
      </c>
      <c r="I6" s="8" t="n">
        <v>23</v>
      </c>
      <c r="J6" s="8" t="n">
        <v>0.5151175811870101</v>
      </c>
      <c r="K6" s="8" t="n">
        <v>10</v>
      </c>
      <c r="L6" s="8" t="n">
        <v>0.2239641657334827</v>
      </c>
      <c r="M6" s="8" t="n">
        <v>23</v>
      </c>
      <c r="N6" s="8" t="n">
        <v>0.5151175811870101</v>
      </c>
      <c r="O6" s="8" t="n">
        <v>51</v>
      </c>
      <c r="P6" s="8" t="n">
        <v>1.142217245240762</v>
      </c>
      <c r="Q6" s="8" t="n">
        <v>0.1071428571428571</v>
      </c>
    </row>
    <row r="7">
      <c r="A7" s="5" t="inlineStr">
        <is>
          <t>FY2021</t>
        </is>
      </c>
      <c r="B7" s="8" t="n">
        <v>2610</v>
      </c>
      <c r="C7" s="8" t="n">
        <v>14</v>
      </c>
      <c r="D7" s="8" t="n">
        <v>0.5363984674329502</v>
      </c>
      <c r="E7" s="8" t="n">
        <v>13</v>
      </c>
      <c r="F7" s="8" t="n">
        <v>0.4980842911877394</v>
      </c>
      <c r="G7" s="8" t="n">
        <v>31</v>
      </c>
      <c r="H7" s="8" t="n">
        <v>1.187739463601533</v>
      </c>
      <c r="I7" s="8" t="n">
        <v>14</v>
      </c>
      <c r="J7" s="8" t="n">
        <v>0.5363984674329502</v>
      </c>
      <c r="K7" s="8" t="n">
        <v>5</v>
      </c>
      <c r="L7" s="8" t="n">
        <v>0.1915708812260536</v>
      </c>
      <c r="M7" s="8" t="n">
        <v>10</v>
      </c>
      <c r="N7" s="8" t="n">
        <v>0.3831417624521073</v>
      </c>
      <c r="O7" s="8" t="n">
        <v>24</v>
      </c>
      <c r="P7" s="8" t="n">
        <v>0.9195402298850575</v>
      </c>
      <c r="Q7" s="8" t="n">
        <v>0.9285714285714286</v>
      </c>
    </row>
    <row r="8">
      <c r="A8" s="5" t="inlineStr">
        <is>
          <t>FY2022</t>
        </is>
      </c>
      <c r="B8" s="8" t="n">
        <v>2425</v>
      </c>
      <c r="C8" s="8" t="n">
        <v>26</v>
      </c>
      <c r="D8" s="8" t="n">
        <v>1.072164948453608</v>
      </c>
      <c r="E8" s="8" t="n">
        <v>6</v>
      </c>
      <c r="F8" s="8" t="n">
        <v>0.2474226804123711</v>
      </c>
      <c r="G8" s="8" t="n">
        <v>25</v>
      </c>
      <c r="H8" s="8" t="n">
        <v>1.030927835051546</v>
      </c>
      <c r="I8" s="8" t="n">
        <v>13</v>
      </c>
      <c r="J8" s="8" t="n">
        <v>0.5360824742268041</v>
      </c>
      <c r="K8" s="8" t="n">
        <v>3</v>
      </c>
      <c r="L8" s="8" t="n">
        <v>0.1237113402061856</v>
      </c>
      <c r="M8" s="8" t="n">
        <v>8</v>
      </c>
      <c r="N8" s="8" t="n">
        <v>0.3298969072164948</v>
      </c>
      <c r="O8" s="8" t="n">
        <v>21</v>
      </c>
      <c r="P8" s="8" t="n">
        <v>0.865979381443299</v>
      </c>
      <c r="Q8" s="8" t="n">
        <v>0.2307692307692308</v>
      </c>
    </row>
    <row r="9">
      <c r="A9" s="5" t="inlineStr">
        <is>
          <t>FY2023</t>
        </is>
      </c>
      <c r="B9" s="8" t="n">
        <v>2139</v>
      </c>
      <c r="C9" s="8" t="n">
        <v>16</v>
      </c>
      <c r="D9" s="8" t="n">
        <v>0.748013090229079</v>
      </c>
      <c r="E9" s="8" t="n">
        <v>1</v>
      </c>
      <c r="F9" s="8" t="n">
        <v>0.04675081813931744</v>
      </c>
      <c r="G9" s="8" t="n">
        <v>23</v>
      </c>
      <c r="H9" s="8" t="n">
        <v>1.075268817204301</v>
      </c>
      <c r="I9" s="8" t="n">
        <v>13</v>
      </c>
      <c r="J9" s="8" t="n">
        <v>0.6077606358111267</v>
      </c>
      <c r="K9" s="8" t="n">
        <v>3</v>
      </c>
      <c r="L9" s="8" t="n">
        <v>0.1402524544179523</v>
      </c>
      <c r="M9" s="8" t="n">
        <v>8</v>
      </c>
      <c r="N9" s="8" t="n">
        <v>0.3740065451145395</v>
      </c>
      <c r="O9" s="8" t="n">
        <v>20</v>
      </c>
      <c r="P9" s="8" t="n">
        <v>0.9350163627863488</v>
      </c>
      <c r="Q9" s="8" t="n">
        <v>0.0625</v>
      </c>
    </row>
    <row r="10">
      <c r="A10" s="5" t="inlineStr">
        <is>
          <t>FY2024</t>
        </is>
      </c>
      <c r="B10" s="8" t="n">
        <v>2083</v>
      </c>
      <c r="C10" s="8" t="n">
        <v>17</v>
      </c>
      <c r="D10" s="8" t="n">
        <v>0.8161305808929429</v>
      </c>
      <c r="E10" s="8" t="n">
        <v>3</v>
      </c>
      <c r="F10" s="8" t="n">
        <v>0.1440230436869899</v>
      </c>
      <c r="G10" s="8" t="n">
        <v>22</v>
      </c>
      <c r="H10" s="8" t="n">
        <v>1.056168987037926</v>
      </c>
      <c r="I10" s="8" t="n">
        <v>13</v>
      </c>
      <c r="J10" s="8" t="n">
        <v>0.6240998559769563</v>
      </c>
      <c r="K10" s="8" t="n">
        <v>9</v>
      </c>
      <c r="L10" s="8" t="n">
        <v>0.4320691310609698</v>
      </c>
      <c r="M10" s="8" t="n">
        <v>8</v>
      </c>
      <c r="N10" s="8" t="n">
        <v>0.3840614498319731</v>
      </c>
      <c r="O10" s="8" t="n">
        <v>27</v>
      </c>
      <c r="P10" s="8" t="n">
        <v>1.296207393182909</v>
      </c>
      <c r="Q10" s="8" t="n">
        <v>0.1764705882352941</v>
      </c>
    </row>
    <row r="11">
      <c r="A11" s="5" t="inlineStr">
        <is>
          <t>FY2025</t>
        </is>
      </c>
      <c r="B11" s="8" t="n">
        <v>2451</v>
      </c>
      <c r="C11" s="8" t="n">
        <v>20</v>
      </c>
      <c r="D11" s="8" t="n">
        <v>0.8159934720522236</v>
      </c>
      <c r="E11" s="8" t="n">
        <v>5</v>
      </c>
      <c r="F11" s="8" t="n">
        <v>0.2039983680130559</v>
      </c>
      <c r="G11" s="8" t="n">
        <v>30</v>
      </c>
      <c r="H11" s="8" t="n">
        <v>1.223990208078335</v>
      </c>
      <c r="I11" s="8" t="n">
        <v>14</v>
      </c>
      <c r="J11" s="8" t="n">
        <v>0.5711954304365565</v>
      </c>
      <c r="K11" s="8" t="n">
        <v>12</v>
      </c>
      <c r="L11" s="8" t="n">
        <v>0.4895960832313341</v>
      </c>
      <c r="M11" s="8" t="n">
        <v>12</v>
      </c>
      <c r="N11" s="8" t="n">
        <v>0.4895960832313341</v>
      </c>
      <c r="O11" s="8" t="n">
        <v>30</v>
      </c>
      <c r="P11" s="8" t="n">
        <v>1.223990208078335</v>
      </c>
      <c r="Q11" s="8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Fiscal Year</t>
        </is>
      </c>
      <c r="B1" s="7" t="inlineStr">
        <is>
          <t>Balance Sheet Date</t>
        </is>
      </c>
      <c r="C1" s="7" t="inlineStr">
        <is>
          <t>Closing Price ($)</t>
        </is>
      </c>
    </row>
    <row r="2">
      <c r="A2" s="5" t="inlineStr">
        <is>
          <t>FY2016</t>
        </is>
      </c>
      <c r="B2" s="5" t="inlineStr">
        <is>
          <t>2016-09-24</t>
        </is>
      </c>
      <c r="C2" s="8" t="n">
        <v>28.18</v>
      </c>
    </row>
    <row r="3">
      <c r="A3" s="5" t="inlineStr">
        <is>
          <t>FY2017</t>
        </is>
      </c>
      <c r="B3" s="5" t="inlineStr">
        <is>
          <t>2017-09-30</t>
        </is>
      </c>
      <c r="C3" s="8" t="n">
        <v>38.53</v>
      </c>
    </row>
    <row r="4">
      <c r="A4" s="5" t="inlineStr">
        <is>
          <t>FY2018</t>
        </is>
      </c>
      <c r="B4" s="5" t="inlineStr">
        <is>
          <t>2018-09-29</t>
        </is>
      </c>
      <c r="C4" s="8" t="n">
        <v>56.44</v>
      </c>
    </row>
    <row r="5">
      <c r="A5" s="5" t="inlineStr">
        <is>
          <t>FY2019</t>
        </is>
      </c>
      <c r="B5" s="5" t="inlineStr">
        <is>
          <t>2019-09-28</t>
        </is>
      </c>
      <c r="C5" s="8" t="n">
        <v>54.71</v>
      </c>
    </row>
    <row r="6">
      <c r="A6" s="5" t="inlineStr">
        <is>
          <t>FY2020</t>
        </is>
      </c>
      <c r="B6" s="5" t="inlineStr">
        <is>
          <t>2020-09-26</t>
        </is>
      </c>
      <c r="C6" s="8" t="n">
        <v>112.28</v>
      </c>
    </row>
    <row r="7">
      <c r="A7" s="5" t="inlineStr">
        <is>
          <t>FY2021</t>
        </is>
      </c>
      <c r="B7" s="5" t="inlineStr">
        <is>
          <t>2021-09-25</t>
        </is>
      </c>
      <c r="C7" s="8" t="n">
        <v>146.92</v>
      </c>
    </row>
    <row r="8">
      <c r="A8" s="5" t="inlineStr">
        <is>
          <t>FY2022</t>
        </is>
      </c>
      <c r="B8" s="5" t="inlineStr">
        <is>
          <t>2022-09-24</t>
        </is>
      </c>
      <c r="C8" s="8" t="n">
        <v>150.43</v>
      </c>
    </row>
    <row r="9">
      <c r="A9" s="5" t="inlineStr">
        <is>
          <t>FY2023</t>
        </is>
      </c>
      <c r="B9" s="5" t="inlineStr">
        <is>
          <t>2023-09-30</t>
        </is>
      </c>
      <c r="C9" s="8" t="n">
        <v>171.21</v>
      </c>
    </row>
    <row r="10">
      <c r="A10" s="5" t="inlineStr">
        <is>
          <t>FY2024</t>
        </is>
      </c>
      <c r="B10" s="5" t="inlineStr">
        <is>
          <t>2024-09-28</t>
        </is>
      </c>
      <c r="C10" s="8" t="n">
        <v>227.79</v>
      </c>
    </row>
    <row r="11">
      <c r="A11" s="5" t="inlineStr">
        <is>
          <t>FY2025</t>
        </is>
      </c>
      <c r="B11" s="5" t="inlineStr">
        <is>
          <t>2025-09-27</t>
        </is>
      </c>
      <c r="C11" s="8" t="n">
        <v>255.46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7" t="inlineStr">
        <is>
          <t>Fiscal Year</t>
        </is>
      </c>
      <c r="B1" s="7" t="inlineStr">
        <is>
          <t>Balance Sheet Date</t>
        </is>
      </c>
      <c r="C1" s="7" t="inlineStr">
        <is>
          <t>Revenue ($)</t>
        </is>
      </c>
      <c r="D1" s="7" t="inlineStr">
        <is>
          <t>Net Income ($)</t>
        </is>
      </c>
      <c r="E1" s="7" t="inlineStr">
        <is>
          <t>Total Assets ($)</t>
        </is>
      </c>
      <c r="F1" s="7" t="inlineStr">
        <is>
          <t>Current Ratio</t>
        </is>
      </c>
      <c r="G1" s="7" t="inlineStr">
        <is>
          <t>Liabilities-to-Equity</t>
        </is>
      </c>
      <c r="H1" s="7" t="inlineStr">
        <is>
          <t>Asset Turnover</t>
        </is>
      </c>
      <c r="I1" s="7" t="inlineStr">
        <is>
          <t>Net Profit Margin</t>
        </is>
      </c>
    </row>
    <row r="2">
      <c r="A2" s="5" t="inlineStr">
        <is>
          <t>FY2016</t>
        </is>
      </c>
      <c r="B2" s="5" t="inlineStr">
        <is>
          <t>2016-09-24</t>
        </is>
      </c>
      <c r="C2" s="8" t="n">
        <v>215639000000</v>
      </c>
      <c r="D2" s="8" t="n">
        <v>45687000000</v>
      </c>
      <c r="E2" s="8" t="n">
        <v>321686000000</v>
      </c>
      <c r="F2" s="8" t="n">
        <v>1.352669417512594</v>
      </c>
      <c r="G2" s="8" t="n">
        <v>1.508292462319394</v>
      </c>
      <c r="H2" s="8" t="n">
        <v>0.704666920466447</v>
      </c>
      <c r="I2" s="8" t="n">
        <v>0.211867983064288</v>
      </c>
    </row>
    <row r="3">
      <c r="A3" s="5" t="inlineStr">
        <is>
          <t>FY2017</t>
        </is>
      </c>
      <c r="B3" s="5" t="inlineStr">
        <is>
          <t>2017-09-30</t>
        </is>
      </c>
      <c r="C3" s="8" t="n">
        <v>229234000000</v>
      </c>
      <c r="D3" s="8" t="n">
        <v>48351000000</v>
      </c>
      <c r="E3" s="8" t="n">
        <v>375319000000</v>
      </c>
      <c r="F3" s="8" t="n">
        <v>1.276062848413911</v>
      </c>
      <c r="G3" s="8" t="n">
        <v>1.799906003118309</v>
      </c>
      <c r="H3" s="8" t="n">
        <v>0.6577685956341777</v>
      </c>
      <c r="I3" s="8" t="n">
        <v>0.2109242084507534</v>
      </c>
    </row>
    <row r="4">
      <c r="A4" s="5" t="inlineStr">
        <is>
          <t>FY2018</t>
        </is>
      </c>
      <c r="B4" s="5" t="inlineStr">
        <is>
          <t>2018-09-29</t>
        </is>
      </c>
      <c r="C4" s="8" t="n">
        <v>265595000000</v>
      </c>
      <c r="D4" s="8" t="n">
        <v>59531000000</v>
      </c>
      <c r="E4" s="8" t="n">
        <v>365725000000</v>
      </c>
      <c r="F4" s="8" t="n">
        <v>1.132926187580329</v>
      </c>
      <c r="G4" s="8" t="n">
        <v>2.413301352347709</v>
      </c>
      <c r="H4" s="8" t="n">
        <v>0.7168130367427575</v>
      </c>
      <c r="I4" s="8" t="n">
        <v>0.2241420207458725</v>
      </c>
    </row>
    <row r="5">
      <c r="A5" s="5" t="inlineStr">
        <is>
          <t>FY2019</t>
        </is>
      </c>
      <c r="B5" s="5" t="inlineStr">
        <is>
          <t>2019-09-28</t>
        </is>
      </c>
      <c r="C5" s="8" t="n">
        <v>260174000000</v>
      </c>
      <c r="D5" s="8" t="n">
        <v>55256000000</v>
      </c>
      <c r="E5" s="8" t="n">
        <v>338516000000</v>
      </c>
      <c r="F5" s="8" t="n">
        <v>1.540125617208044</v>
      </c>
      <c r="G5" s="8" t="n">
        <v>2.74100433206613</v>
      </c>
      <c r="H5" s="8" t="n">
        <v>0.7388777421365698</v>
      </c>
      <c r="I5" s="8" t="n">
        <v>0.2123809450598446</v>
      </c>
    </row>
    <row r="6">
      <c r="A6" s="5" t="inlineStr">
        <is>
          <t>FY2020</t>
        </is>
      </c>
      <c r="B6" s="5" t="inlineStr">
        <is>
          <t>2020-09-26</t>
        </is>
      </c>
      <c r="C6" s="8" t="n">
        <v>274515000000</v>
      </c>
      <c r="D6" s="8" t="n">
        <v>57411000000</v>
      </c>
      <c r="E6" s="8" t="n">
        <v>323888000000</v>
      </c>
      <c r="F6" s="8" t="n">
        <v>1.363604448155458</v>
      </c>
      <c r="G6" s="8" t="n">
        <v>3.957039440456695</v>
      </c>
      <c r="H6" s="8" t="n">
        <v>0.8288446325807212</v>
      </c>
      <c r="I6" s="8" t="n">
        <v>0.2091361127807224</v>
      </c>
    </row>
    <row r="7">
      <c r="A7" s="5" t="inlineStr">
        <is>
          <t>FY2021</t>
        </is>
      </c>
      <c r="B7" s="5" t="inlineStr">
        <is>
          <t>2021-09-25</t>
        </is>
      </c>
      <c r="C7" s="8" t="n">
        <v>365817000000</v>
      </c>
      <c r="D7" s="8" t="n">
        <v>94680000000</v>
      </c>
      <c r="E7" s="8" t="n">
        <v>351002000000</v>
      </c>
      <c r="F7" s="8" t="n">
        <v>1.074553119595795</v>
      </c>
      <c r="G7" s="8" t="n">
        <v>4.563512442542399</v>
      </c>
      <c r="H7" s="8" t="n">
        <v>1.084078886929722</v>
      </c>
      <c r="I7" s="8" t="n">
        <v>0.2588179335569424</v>
      </c>
    </row>
    <row r="8">
      <c r="A8" s="5" t="inlineStr">
        <is>
          <t>FY2022</t>
        </is>
      </c>
      <c r="B8" s="5" t="inlineStr">
        <is>
          <t>2022-09-24</t>
        </is>
      </c>
      <c r="C8" s="8" t="n">
        <v>394328000000</v>
      </c>
      <c r="D8" s="8" t="n">
        <v>99803000000</v>
      </c>
      <c r="E8" s="8" t="n">
        <v>352755000000</v>
      </c>
      <c r="F8" s="8" t="n">
        <v>0.8793560286267226</v>
      </c>
      <c r="G8" s="8" t="n">
        <v>5.961536943479634</v>
      </c>
      <c r="H8" s="8" t="n">
        <v>1.120636810717336</v>
      </c>
      <c r="I8" s="8" t="n">
        <v>0.2530964070519973</v>
      </c>
    </row>
    <row r="9">
      <c r="A9" s="5" t="inlineStr">
        <is>
          <t>FY2023</t>
        </is>
      </c>
      <c r="B9" s="5" t="inlineStr">
        <is>
          <t>2023-09-30</t>
        </is>
      </c>
      <c r="C9" s="8" t="n">
        <v>383285000000</v>
      </c>
      <c r="D9" s="8" t="n">
        <v>96995000000</v>
      </c>
      <c r="E9" s="8" t="n">
        <v>352583000000</v>
      </c>
      <c r="F9" s="8" t="n">
        <v>0.9880116717592975</v>
      </c>
      <c r="G9" s="8" t="n">
        <v>4.673462491552152</v>
      </c>
      <c r="H9" s="8" t="n">
        <v>1.086812280069981</v>
      </c>
      <c r="I9" s="8" t="n">
        <v>0.2530623426432028</v>
      </c>
    </row>
    <row r="10">
      <c r="A10" s="5" t="inlineStr">
        <is>
          <t>FY2024</t>
        </is>
      </c>
      <c r="B10" s="5" t="inlineStr">
        <is>
          <t>2024-09-28</t>
        </is>
      </c>
      <c r="C10" s="8" t="n">
        <v>391035000000</v>
      </c>
      <c r="D10" s="8" t="n">
        <v>93736000000</v>
      </c>
      <c r="E10" s="8" t="n">
        <v>364980000000</v>
      </c>
      <c r="F10" s="8" t="n">
        <v>0.8673125765340832</v>
      </c>
      <c r="G10" s="8" t="n">
        <v>5.408779631255487</v>
      </c>
      <c r="H10" s="8" t="n">
        <v>1.08989733305647</v>
      </c>
      <c r="I10" s="8" t="n">
        <v>0.2397125576994387</v>
      </c>
    </row>
    <row r="11">
      <c r="A11" s="5" t="inlineStr">
        <is>
          <t>FY2025</t>
        </is>
      </c>
      <c r="B11" s="5" t="inlineStr">
        <is>
          <t>2025-09-27</t>
        </is>
      </c>
      <c r="C11" s="8" t="n">
        <v>416161000000</v>
      </c>
      <c r="D11" s="8" t="n">
        <v>112010000000</v>
      </c>
      <c r="E11" s="8" t="n">
        <v>359241000000</v>
      </c>
      <c r="F11" s="8" t="n">
        <v>0.8932929222186667</v>
      </c>
      <c r="G11" s="8" t="n">
        <v>3.872187487285205</v>
      </c>
      <c r="H11" s="8" t="n">
        <v>1.149265210481331</v>
      </c>
      <c r="I11" s="8" t="n">
        <v>0.2691506412181824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AAPL: Stock Price vs MD&amp;A Sentiment (P/N Ratio)</t>
        </is>
      </c>
    </row>
    <row r="3">
      <c r="A3" s="7" t="inlineStr">
        <is>
          <t>Fiscal Year</t>
        </is>
      </c>
      <c r="B3" s="7" t="inlineStr">
        <is>
          <t>Balance Sheet Date</t>
        </is>
      </c>
      <c r="C3" s="7" t="inlineStr">
        <is>
          <t>P/N Ratio</t>
        </is>
      </c>
      <c r="D3" s="7" t="inlineStr">
        <is>
          <t>Stock Price ($)</t>
        </is>
      </c>
    </row>
    <row r="4">
      <c r="A4" s="5" t="inlineStr">
        <is>
          <t>FY2016</t>
        </is>
      </c>
      <c r="B4" s="5" t="inlineStr">
        <is>
          <t>2016-09-24</t>
        </is>
      </c>
      <c r="C4" s="8" t="n">
        <v>0.2336448598130841</v>
      </c>
      <c r="D4" s="8" t="n">
        <v>28.18</v>
      </c>
    </row>
    <row r="5">
      <c r="A5" s="5" t="inlineStr">
        <is>
          <t>FY2017</t>
        </is>
      </c>
      <c r="B5" s="5" t="inlineStr">
        <is>
          <t>2017-09-30</t>
        </is>
      </c>
      <c r="C5" s="8" t="n">
        <v>0.2272727272727273</v>
      </c>
      <c r="D5" s="8" t="n">
        <v>38.53</v>
      </c>
    </row>
    <row r="6">
      <c r="A6" s="5" t="inlineStr">
        <is>
          <t>FY2018</t>
        </is>
      </c>
      <c r="B6" s="5" t="inlineStr">
        <is>
          <t>2018-09-29</t>
        </is>
      </c>
      <c r="C6" s="8" t="n">
        <v>0.4166666666666667</v>
      </c>
      <c r="D6" s="8" t="n">
        <v>56.44</v>
      </c>
    </row>
    <row r="7">
      <c r="A7" s="5" t="inlineStr">
        <is>
          <t>FY2019</t>
        </is>
      </c>
      <c r="B7" s="5" t="inlineStr">
        <is>
          <t>2019-09-28</t>
        </is>
      </c>
      <c r="C7" s="8" t="n">
        <v>0.1914893617021277</v>
      </c>
      <c r="D7" s="8" t="n">
        <v>54.71</v>
      </c>
    </row>
    <row r="8">
      <c r="A8" s="5" t="inlineStr">
        <is>
          <t>FY2020</t>
        </is>
      </c>
      <c r="B8" s="5" t="inlineStr">
        <is>
          <t>2020-09-26</t>
        </is>
      </c>
      <c r="C8" s="8" t="n">
        <v>0.1071428571428571</v>
      </c>
      <c r="D8" s="8" t="n">
        <v>112.28</v>
      </c>
    </row>
    <row r="9">
      <c r="A9" s="5" t="inlineStr">
        <is>
          <t>FY2021</t>
        </is>
      </c>
      <c r="B9" s="5" t="inlineStr">
        <is>
          <t>2021-09-25</t>
        </is>
      </c>
      <c r="C9" s="8" t="n">
        <v>0.9285714285714286</v>
      </c>
      <c r="D9" s="8" t="n">
        <v>146.92</v>
      </c>
    </row>
    <row r="10">
      <c r="A10" s="5" t="inlineStr">
        <is>
          <t>FY2022</t>
        </is>
      </c>
      <c r="B10" s="5" t="inlineStr">
        <is>
          <t>2022-09-24</t>
        </is>
      </c>
      <c r="C10" s="8" t="n">
        <v>0.2307692307692308</v>
      </c>
      <c r="D10" s="8" t="n">
        <v>150.43</v>
      </c>
    </row>
    <row r="11">
      <c r="A11" s="5" t="inlineStr">
        <is>
          <t>FY2023</t>
        </is>
      </c>
      <c r="B11" s="5" t="inlineStr">
        <is>
          <t>2023-09-30</t>
        </is>
      </c>
      <c r="C11" s="8" t="n">
        <v>0.0625</v>
      </c>
      <c r="D11" s="8" t="n">
        <v>171.21</v>
      </c>
    </row>
    <row r="12">
      <c r="A12" s="5" t="inlineStr">
        <is>
          <t>FY2024</t>
        </is>
      </c>
      <c r="B12" s="5" t="inlineStr">
        <is>
          <t>2024-09-28</t>
        </is>
      </c>
      <c r="C12" s="8" t="n">
        <v>0.1764705882352941</v>
      </c>
      <c r="D12" s="8" t="n">
        <v>227.79</v>
      </c>
    </row>
    <row r="13">
      <c r="A13" s="5" t="inlineStr">
        <is>
          <t>FY2025</t>
        </is>
      </c>
      <c r="B13" s="5" t="inlineStr">
        <is>
          <t>2025-09-27</t>
        </is>
      </c>
      <c r="C13" s="8" t="n">
        <v>0.25</v>
      </c>
      <c r="D13" s="8" t="n">
        <v>255.46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2026-10-30T00:06:16Z</dcterms:created>
  <dcterms:modified xmlns:dcterms="http://purl.org/dc/terms/" xmlns:xsi="http://www.w3.org/2001/XMLSchema-instance" xsi:type="dcterms:W3CDTF">2026-10-30T00:06:16Z</dcterms:modified>
</cp:coreProperties>
</file>